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<sst xmlns="http://schemas.openxmlformats.org/spreadsheetml/2006/main" count="1668" uniqueCount="987">
  <si>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</si>
  <si>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</si>
  <si>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</si>
  <si>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</si>
  <si>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</si>
  <si>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</si>
  <si>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</si>
  <si>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</si>
  <si>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</si>
  <si>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</si>
  <si>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</si>
  <si>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Property Address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</si>
  <si>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</si>
  <si>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</si>
  <si>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</si>
  <si>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</si>
  <si>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</si>
  <si>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</si>
  <si>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</si>
  <si>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</si>
  <si>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Suggested PINs</t>
  </si>
  <si>
    <t>Likely_Assessable</t>
  </si>
  <si>
    <t>user21</t>
  </si>
  <si>
    <t>20224030120000</t>
  </si>
  <si>
    <t>19344050180000</t>
  </si>
  <si>
    <t>14071130170000</t>
  </si>
  <si>
    <t>13132100290000</t>
  </si>
  <si>
    <t>16134240160000</t>
  </si>
  <si>
    <t>13133300230000</t>
  </si>
  <si>
    <t>14174070240000</t>
  </si>
  <si>
    <t>16233260220000</t>
  </si>
  <si>
    <t>17094290180000</t>
  </si>
  <si>
    <t>25103080330000</t>
  </si>
  <si>
    <t>25094030430000</t>
  </si>
  <si>
    <t>13172120220000</t>
  </si>
  <si>
    <t>19171030530000</t>
  </si>
  <si>
    <t>25284420090000</t>
  </si>
  <si>
    <t>16124140730000</t>
  </si>
  <si>
    <t>20294130320000</t>
  </si>
  <si>
    <t>13072220320000</t>
  </si>
  <si>
    <t>17162470600000</t>
  </si>
  <si>
    <t>16134070210000</t>
  </si>
  <si>
    <t>13152370260000</t>
  </si>
  <si>
    <t>19361140220000</t>
  </si>
  <si>
    <t>13242040270000</t>
  </si>
  <si>
    <t>14204130210000</t>
  </si>
  <si>
    <t>13213300080000</t>
  </si>
  <si>
    <t>19262040450000</t>
  </si>
  <si>
    <t>25124030370000</t>
  </si>
  <si>
    <t>25061030380000</t>
  </si>
  <si>
    <t>14072160160000</t>
  </si>
  <si>
    <t>14054030210000</t>
  </si>
  <si>
    <t>14211100200000</t>
  </si>
  <si>
    <t>13133200030000</t>
  </si>
  <si>
    <t>20202180080000</t>
  </si>
  <si>
    <t>13123190100000</t>
  </si>
  <si>
    <t>17282110540000</t>
  </si>
  <si>
    <t>17322160830000</t>
  </si>
  <si>
    <t>20034170170000</t>
  </si>
  <si>
    <t>25084230200000</t>
  </si>
  <si>
    <t>16034220370000</t>
  </si>
  <si>
    <t>14083100110000</t>
  </si>
  <si>
    <t>17164240050000</t>
  </si>
  <si>
    <t>17053200160000</t>
  </si>
  <si>
    <t>26311140270000</t>
  </si>
  <si>
    <t>19252090250000</t>
  </si>
  <si>
    <t>25074130240000</t>
  </si>
  <si>
    <t>19143090470000</t>
  </si>
  <si>
    <t>16084160260000</t>
  </si>
  <si>
    <t>19151190370000</t>
  </si>
  <si>
    <t>16054200370000</t>
  </si>
  <si>
    <t>11293080220000</t>
  </si>
  <si>
    <t>17094080140000</t>
  </si>
  <si>
    <t>17102170020000</t>
  </si>
  <si>
    <t>13141020400000</t>
  </si>
  <si>
    <t>12081000060000</t>
  </si>
  <si>
    <t>14313330310000</t>
  </si>
  <si>
    <t>25203000370000</t>
  </si>
  <si>
    <t>17301070200000</t>
  </si>
  <si>
    <t>20352140070000</t>
  </si>
  <si>
    <t>13333140130000</t>
  </si>
  <si>
    <t>26064180050000</t>
  </si>
  <si>
    <t>16093150180000</t>
  </si>
  <si>
    <t>14181270220000</t>
  </si>
  <si>
    <t>24142110230000</t>
  </si>
  <si>
    <t>20202130130000</t>
  </si>
  <si>
    <t>17151010100000</t>
  </si>
  <si>
    <t>21312060400000</t>
  </si>
  <si>
    <t>13363030210000</t>
  </si>
  <si>
    <t>16263040110000</t>
  </si>
  <si>
    <t>19174260410000</t>
  </si>
  <si>
    <t>20253220350000</t>
  </si>
  <si>
    <t>17293140490000</t>
  </si>
  <si>
    <t>17221100020000</t>
  </si>
  <si>
    <t>16104230070000</t>
  </si>
  <si>
    <t>17102150790000</t>
  </si>
  <si>
    <t>13264120170000</t>
  </si>
  <si>
    <t>17094290190000</t>
  </si>
  <si>
    <t>11324050280000</t>
  </si>
  <si>
    <t>14073140370000</t>
  </si>
  <si>
    <t>14084120400000</t>
  </si>
  <si>
    <t>14191180170000</t>
  </si>
  <si>
    <t>17064170380000</t>
  </si>
  <si>
    <t>17102000120000</t>
  </si>
  <si>
    <t>12023010160000</t>
  </si>
  <si>
    <t>20342210250000</t>
  </si>
  <si>
    <t>14064000190000</t>
  </si>
  <si>
    <t>25093160140000</t>
  </si>
  <si>
    <t>14333000480000</t>
  </si>
  <si>
    <t>24141132300000</t>
  </si>
  <si>
    <t>17292010180000</t>
  </si>
  <si>
    <t>14294070880000</t>
  </si>
  <si>
    <t>25053040110000</t>
  </si>
  <si>
    <t>25084140140000</t>
  </si>
  <si>
    <t>16162020460000</t>
  </si>
  <si>
    <t>25331170760000</t>
  </si>
  <si>
    <t>16034060070000</t>
  </si>
  <si>
    <t>24242110100000</t>
  </si>
  <si>
    <t>14074050170000</t>
  </si>
  <si>
    <t>25174210130000</t>
  </si>
  <si>
    <t>17084180070000</t>
  </si>
  <si>
    <t>21311040240000</t>
  </si>
  <si>
    <t>20343070390000</t>
  </si>
  <si>
    <t>20333150250000</t>
  </si>
  <si>
    <t>20361070200000</t>
  </si>
  <si>
    <t>17101200210000</t>
  </si>
  <si>
    <t>19244160190000</t>
  </si>
  <si>
    <t>13093160480000</t>
  </si>
  <si>
    <t>25212050120000</t>
  </si>
  <si>
    <t>12112000310000</t>
  </si>
  <si>
    <t>25281230180000</t>
  </si>
  <si>
    <t>20253250350000</t>
  </si>
  <si>
    <t>10321280240000</t>
  </si>
  <si>
    <t>25034320140000</t>
  </si>
  <si>
    <t>17051010730000</t>
  </si>
  <si>
    <t>10254040020000</t>
  </si>
  <si>
    <t>17082530280000</t>
  </si>
  <si>
    <t>24133070290000</t>
  </si>
  <si>
    <t>10321160370000</t>
  </si>
  <si>
    <t>13213130300000</t>
  </si>
  <si>
    <t>16134270100000</t>
  </si>
  <si>
    <t>17094050040000</t>
  </si>
  <si>
    <t>17063090200000</t>
  </si>
  <si>
    <t>16022240040000</t>
  </si>
  <si>
    <t>13303060060000</t>
  </si>
  <si>
    <t>24132170030000</t>
  </si>
  <si>
    <t>13291160260000</t>
  </si>
  <si>
    <t>13204330220000</t>
  </si>
  <si>
    <t>10333240300000</t>
  </si>
  <si>
    <t>13331090010000</t>
  </si>
  <si>
    <t>14331120310000</t>
  </si>
  <si>
    <t>11303110030000</t>
  </si>
  <si>
    <t>14191150180000</t>
  </si>
  <si>
    <t>17044410240000</t>
  </si>
  <si>
    <t>17102000150000</t>
  </si>
  <si>
    <t>13042280570000</t>
  </si>
  <si>
    <t>14182160090000</t>
  </si>
  <si>
    <t>13162230080000</t>
  </si>
  <si>
    <t>13171010650000</t>
  </si>
  <si>
    <t>16141020120000</t>
  </si>
  <si>
    <t>13082200330000</t>
  </si>
  <si>
    <t>13131320260000</t>
  </si>
  <si>
    <t>16364260060000</t>
  </si>
  <si>
    <t>19263360630000</t>
  </si>
  <si>
    <t>11323260130000</t>
  </si>
  <si>
    <t>13083180880000</t>
  </si>
  <si>
    <t>16013250290000</t>
  </si>
  <si>
    <t>17071210150000</t>
  </si>
  <si>
    <t>17213140060000</t>
  </si>
  <si>
    <t>13083090250000</t>
  </si>
  <si>
    <t>25171070190000</t>
  </si>
  <si>
    <t>17161150030000</t>
  </si>
  <si>
    <t>17173250090000</t>
  </si>
  <si>
    <t>09363070390000</t>
  </si>
  <si>
    <t>25222260280000</t>
  </si>
  <si>
    <t>20363040110000</t>
  </si>
  <si>
    <t>19132110090000</t>
  </si>
  <si>
    <t>16093050100000</t>
  </si>
  <si>
    <t>13134010470000</t>
  </si>
  <si>
    <t>17083210010000</t>
  </si>
  <si>
    <t>14182030340000</t>
  </si>
  <si>
    <t>16102010040000</t>
  </si>
  <si>
    <t>09362030390000</t>
  </si>
  <si>
    <t>17092170090000</t>
  </si>
  <si>
    <t>14052110240000</t>
  </si>
  <si>
    <t>12113150190000</t>
  </si>
  <si>
    <t>11304190220000</t>
  </si>
  <si>
    <t>17032050010000</t>
  </si>
  <si>
    <t>25054100060000</t>
  </si>
  <si>
    <t>13021180160000</t>
  </si>
  <si>
    <t>20142190060000</t>
  </si>
  <si>
    <t>14283010170000</t>
  </si>
  <si>
    <t>17343270110000</t>
  </si>
  <si>
    <t>26172030010000</t>
  </si>
  <si>
    <t>17032270230000</t>
  </si>
  <si>
    <t>20184240430000</t>
  </si>
  <si>
    <t>13091300020000</t>
  </si>
  <si>
    <t>16251070040000</t>
  </si>
  <si>
    <t>16152120190000</t>
  </si>
  <si>
    <t>17073030200000</t>
  </si>
  <si>
    <t>17322170320000</t>
  </si>
  <si>
    <t>25091080230000</t>
  </si>
  <si>
    <t>17032280040000</t>
  </si>
  <si>
    <t>16224170350000</t>
  </si>
  <si>
    <t>19222080080000</t>
  </si>
  <si>
    <t>17164040340000</t>
  </si>
  <si>
    <t>B200436423</t>
  </si>
  <si>
    <t>B200436425</t>
  </si>
  <si>
    <t>B200436428</t>
  </si>
  <si>
    <t>B200436429</t>
  </si>
  <si>
    <t>B200436430</t>
  </si>
  <si>
    <t>B200436431</t>
  </si>
  <si>
    <t>B200436433</t>
  </si>
  <si>
    <t>B200436434</t>
  </si>
  <si>
    <t>B200436435</t>
  </si>
  <si>
    <t>B200436436</t>
  </si>
  <si>
    <t>B200436437</t>
  </si>
  <si>
    <t>B200436439</t>
  </si>
  <si>
    <t>B200436441</t>
  </si>
  <si>
    <t>B200436442</t>
  </si>
  <si>
    <t>B200436444</t>
  </si>
  <si>
    <t>B200436445</t>
  </si>
  <si>
    <t>B200436448</t>
  </si>
  <si>
    <t>B200436449</t>
  </si>
  <si>
    <t>B200436450</t>
  </si>
  <si>
    <t>B200436452</t>
  </si>
  <si>
    <t>B200436454</t>
  </si>
  <si>
    <t>B200436457</t>
  </si>
  <si>
    <t>B200436458</t>
  </si>
  <si>
    <t>B200436461</t>
  </si>
  <si>
    <t>B200436462</t>
  </si>
  <si>
    <t>B200436464</t>
  </si>
  <si>
    <t>B200436467</t>
  </si>
  <si>
    <t>B200436473</t>
  </si>
  <si>
    <t>B200436477</t>
  </si>
  <si>
    <t>B200436484</t>
  </si>
  <si>
    <t>B200436485</t>
  </si>
  <si>
    <t>B200436486</t>
  </si>
  <si>
    <t>B200436487</t>
  </si>
  <si>
    <t>B200436488</t>
  </si>
  <si>
    <t>B200436491</t>
  </si>
  <si>
    <t>B200436493</t>
  </si>
  <si>
    <t>B200436498</t>
  </si>
  <si>
    <t>B200436501</t>
  </si>
  <si>
    <t>B200436504</t>
  </si>
  <si>
    <t>B200436507</t>
  </si>
  <si>
    <t>B200436511</t>
  </si>
  <si>
    <t>B200436513</t>
  </si>
  <si>
    <t>B200436515</t>
  </si>
  <si>
    <t>B200436516</t>
  </si>
  <si>
    <t>B200436523</t>
  </si>
  <si>
    <t>B200436525</t>
  </si>
  <si>
    <t>B200436526</t>
  </si>
  <si>
    <t>B200436533</t>
  </si>
  <si>
    <t>B200436535</t>
  </si>
  <si>
    <t>B200436539</t>
  </si>
  <si>
    <t>B200436540</t>
  </si>
  <si>
    <t>B200436556</t>
  </si>
  <si>
    <t>B200436563</t>
  </si>
  <si>
    <t>B200436564</t>
  </si>
  <si>
    <t>B200436565</t>
  </si>
  <si>
    <t>B200436566</t>
  </si>
  <si>
    <t>B200436569</t>
  </si>
  <si>
    <t>B200436578</t>
  </si>
  <si>
    <t>B200436579</t>
  </si>
  <si>
    <t>B200436583</t>
  </si>
  <si>
    <t>B200436587</t>
  </si>
  <si>
    <t>B200436592</t>
  </si>
  <si>
    <t>B200436593</t>
  </si>
  <si>
    <t>B200436594</t>
  </si>
  <si>
    <t>B200436598</t>
  </si>
  <si>
    <t>B200436600</t>
  </si>
  <si>
    <t>B200436602</t>
  </si>
  <si>
    <t>B200436607</t>
  </si>
  <si>
    <t>B200436610</t>
  </si>
  <si>
    <t>B200436616</t>
  </si>
  <si>
    <t>B200436618</t>
  </si>
  <si>
    <t>B200436620</t>
  </si>
  <si>
    <t>B200436621</t>
  </si>
  <si>
    <t>B200436631</t>
  </si>
  <si>
    <t>B200436633</t>
  </si>
  <si>
    <t>B200436646</t>
  </si>
  <si>
    <t>B200436651</t>
  </si>
  <si>
    <t>B200436654</t>
  </si>
  <si>
    <t>B200436655</t>
  </si>
  <si>
    <t>B200436656</t>
  </si>
  <si>
    <t>B200436660</t>
  </si>
  <si>
    <t>B200436661</t>
  </si>
  <si>
    <t>B200436665</t>
  </si>
  <si>
    <t>B200436672</t>
  </si>
  <si>
    <t>B200436673</t>
  </si>
  <si>
    <t>B200436680</t>
  </si>
  <si>
    <t>B200436682</t>
  </si>
  <si>
    <t>B200436685</t>
  </si>
  <si>
    <t>B200436693</t>
  </si>
  <si>
    <t>B200436701</t>
  </si>
  <si>
    <t>B200436702</t>
  </si>
  <si>
    <t>B200436705</t>
  </si>
  <si>
    <t>B200436708</t>
  </si>
  <si>
    <t>B200436709</t>
  </si>
  <si>
    <t>B200436710</t>
  </si>
  <si>
    <t>B200436711</t>
  </si>
  <si>
    <t>B200436715</t>
  </si>
  <si>
    <t>B200436716</t>
  </si>
  <si>
    <t>B200436718</t>
  </si>
  <si>
    <t>B200436719</t>
  </si>
  <si>
    <t>B200436750</t>
  </si>
  <si>
    <t>B200436751</t>
  </si>
  <si>
    <t>B200436758</t>
  </si>
  <si>
    <t>B200436765</t>
  </si>
  <si>
    <t>B200436767</t>
  </si>
  <si>
    <t>B200436768</t>
  </si>
  <si>
    <t>B200436769</t>
  </si>
  <si>
    <t>B200436770</t>
  </si>
  <si>
    <t>B200436772</t>
  </si>
  <si>
    <t>B200436773</t>
  </si>
  <si>
    <t>B200436776</t>
  </si>
  <si>
    <t>B200436777</t>
  </si>
  <si>
    <t>B200436778</t>
  </si>
  <si>
    <t>B200436779</t>
  </si>
  <si>
    <t>B200436786</t>
  </si>
  <si>
    <t>B200436788</t>
  </si>
  <si>
    <t>B200436789</t>
  </si>
  <si>
    <t>B200436790</t>
  </si>
  <si>
    <t>B200436791</t>
  </si>
  <si>
    <t>B200436793</t>
  </si>
  <si>
    <t>B200436795</t>
  </si>
  <si>
    <t>B200436796</t>
  </si>
  <si>
    <t>B200436799</t>
  </si>
  <si>
    <t>B200436800</t>
  </si>
  <si>
    <t>B200436804</t>
  </si>
  <si>
    <t>B200436807</t>
  </si>
  <si>
    <t>B200436808</t>
  </si>
  <si>
    <t>B200436809</t>
  </si>
  <si>
    <t>B200436811</t>
  </si>
  <si>
    <t>B200436814</t>
  </si>
  <si>
    <t>B200436815</t>
  </si>
  <si>
    <t>B200436821</t>
  </si>
  <si>
    <t>B200436825</t>
  </si>
  <si>
    <t>B200436834</t>
  </si>
  <si>
    <t>B200436837</t>
  </si>
  <si>
    <t>B200436839</t>
  </si>
  <si>
    <t>B200436841</t>
  </si>
  <si>
    <t>B200436843</t>
  </si>
  <si>
    <t>B200436848</t>
  </si>
  <si>
    <t>B200436849</t>
  </si>
  <si>
    <t>B200436857</t>
  </si>
  <si>
    <t>B200436866</t>
  </si>
  <si>
    <t>B200436873</t>
  </si>
  <si>
    <t>B200436875</t>
  </si>
  <si>
    <t>B200436877</t>
  </si>
  <si>
    <t>B200436881</t>
  </si>
  <si>
    <t>B200436888</t>
  </si>
  <si>
    <t>B200436892</t>
  </si>
  <si>
    <t>B200436893</t>
  </si>
  <si>
    <t>B200436894</t>
  </si>
  <si>
    <t>B200436898</t>
  </si>
  <si>
    <t>B200436899</t>
  </si>
  <si>
    <t>B200436900</t>
  </si>
  <si>
    <t>B200436906</t>
  </si>
  <si>
    <t>B200436909</t>
  </si>
  <si>
    <t>B200436911</t>
  </si>
  <si>
    <t>B200436913</t>
  </si>
  <si>
    <t>B200436916</t>
  </si>
  <si>
    <t>B200436917</t>
  </si>
  <si>
    <t>B200436921</t>
  </si>
  <si>
    <t>B200436924</t>
  </si>
  <si>
    <t>B200436925</t>
  </si>
  <si>
    <t>B200436927</t>
  </si>
  <si>
    <t>B200436935</t>
  </si>
  <si>
    <t>B200436936</t>
  </si>
  <si>
    <t>B200436938</t>
  </si>
  <si>
    <t>B200436939</t>
  </si>
  <si>
    <t>B200436943</t>
  </si>
  <si>
    <t>B200436947</t>
  </si>
  <si>
    <t>B200436948</t>
  </si>
  <si>
    <t>B200436950</t>
  </si>
  <si>
    <t>B200436952</t>
  </si>
  <si>
    <t>B200436953</t>
  </si>
  <si>
    <t>B200436954</t>
  </si>
  <si>
    <t>B200436955</t>
  </si>
  <si>
    <t>B200436956</t>
  </si>
  <si>
    <t>B200436960</t>
  </si>
  <si>
    <t>B200436962</t>
  </si>
  <si>
    <t>B200436964</t>
  </si>
  <si>
    <t>B200436968</t>
  </si>
  <si>
    <t>B200436969</t>
  </si>
  <si>
    <t>B200436975</t>
  </si>
  <si>
    <t>B200436979</t>
  </si>
  <si>
    <t>B200436980</t>
  </si>
  <si>
    <t>B200436982</t>
  </si>
  <si>
    <t>B200436985</t>
  </si>
  <si>
    <t>B200436986</t>
  </si>
  <si>
    <t>B200437000</t>
  </si>
  <si>
    <t>B200437005</t>
  </si>
  <si>
    <t>B200437008</t>
  </si>
  <si>
    <t>B200437011</t>
  </si>
  <si>
    <t>B200437012</t>
  </si>
  <si>
    <t>B200437013</t>
  </si>
  <si>
    <t>B200437014</t>
  </si>
  <si>
    <t>B200437016</t>
  </si>
  <si>
    <t>B200437017</t>
  </si>
  <si>
    <t>B200437018</t>
  </si>
  <si>
    <t>B200437020</t>
  </si>
  <si>
    <t>B200437031</t>
  </si>
  <si>
    <t>B200437032</t>
  </si>
  <si>
    <t>8/1/2025</t>
  </si>
  <si>
    <t>8/5/2025</t>
  </si>
  <si>
    <t>8/21/2025</t>
  </si>
  <si>
    <t>8/22/2025</t>
  </si>
  <si>
    <t>8/8/2025</t>
  </si>
  <si>
    <t>8/6/2025</t>
  </si>
  <si>
    <t>8/7/2025</t>
  </si>
  <si>
    <t>8/16/2025</t>
  </si>
  <si>
    <t>8/19/2025</t>
  </si>
  <si>
    <t>8/14/2025</t>
  </si>
  <si>
    <t>8/11/2025</t>
  </si>
  <si>
    <t>8/25/2025</t>
  </si>
  <si>
    <t>8/12/2025</t>
  </si>
  <si>
    <t>8/3/2025</t>
  </si>
  <si>
    <t>8/13/2025</t>
  </si>
  <si>
    <t>8/18/2025</t>
  </si>
  <si>
    <t>8/20/2025</t>
  </si>
  <si>
    <t>8/2/2025</t>
  </si>
  <si>
    <t>8/4/2025</t>
  </si>
  <si>
    <t>8/15/2025</t>
  </si>
  <si>
    <t>8/23/2025</t>
  </si>
  <si>
    <t>8/29/2025</t>
  </si>
  <si>
    <t>8/27/2025</t>
  </si>
  <si>
    <t>8/24/2025</t>
  </si>
  <si>
    <t>8/26/2025</t>
  </si>
  <si>
    <t>6731 S ST LAWRENCE AVE</t>
  </si>
  <si>
    <t>8358 S KARLOV AVE</t>
  </si>
  <si>
    <t>2219 W BERWYN AVE</t>
  </si>
  <si>
    <t>2522 W EASTWOOD AVE</t>
  </si>
  <si>
    <t>2431 W TAYLOR ST</t>
  </si>
  <si>
    <t>4026 N MOZART ST</t>
  </si>
  <si>
    <t>4315 N DAYTON ST</t>
  </si>
  <si>
    <t>2136 S MILLARD AVE</t>
  </si>
  <si>
    <t>155 N WACKER DR</t>
  </si>
  <si>
    <t>73 E 100TH ST</t>
  </si>
  <si>
    <t>9908 S WENTWORTH AVE</t>
  </si>
  <si>
    <t>5624 W EASTWOOD AVE</t>
  </si>
  <si>
    <t>5555 S MERRIMAC AVE</t>
  </si>
  <si>
    <t>27 W 126TH PL</t>
  </si>
  <si>
    <t>235 N ARTESIAN AVE</t>
  </si>
  <si>
    <t>7648 S PEORIA ST</t>
  </si>
  <si>
    <t>5324 N OAK PARK AVE</t>
  </si>
  <si>
    <t>400 S STATE ST</t>
  </si>
  <si>
    <t>2421 W FLOURNOY ST</t>
  </si>
  <si>
    <t>4040 W MONTROSE AVE</t>
  </si>
  <si>
    <t>8008 S MOZART ST</t>
  </si>
  <si>
    <t>2418 W BERENICE AVE</t>
  </si>
  <si>
    <t>865 W NEWPORT AVE</t>
  </si>
  <si>
    <t>5231 W MELROSE ST</t>
  </si>
  <si>
    <t>3337 W 71ST ST</t>
  </si>
  <si>
    <t>2220 E 100TH ST</t>
  </si>
  <si>
    <t>8815 S LEAVITT ST</t>
  </si>
  <si>
    <t>1918 W BERWYN AVE</t>
  </si>
  <si>
    <t>5855 N SHERIDAN RD</t>
  </si>
  <si>
    <t>3600 N LAKE SHORE DR</t>
  </si>
  <si>
    <t>4145 N SACRAMENTO AVE</t>
  </si>
  <si>
    <t>6517 S ABERDEEN ST</t>
  </si>
  <si>
    <t>4921 N MOZART ST</t>
  </si>
  <si>
    <t>268 W 23RD ST</t>
  </si>
  <si>
    <t>3352 S MAY ST</t>
  </si>
  <si>
    <t>4541 S FORRESTVILLE AVE</t>
  </si>
  <si>
    <t>10118 S HALSTED ST</t>
  </si>
  <si>
    <t>910 N KEYSTONE AVE</t>
  </si>
  <si>
    <t>1435 W WINNEMAC AVE</t>
  </si>
  <si>
    <t>1115 S PLYMOUTH CT</t>
  </si>
  <si>
    <t>1333 W WALTON ST</t>
  </si>
  <si>
    <t>13240 S COMMERCIAL AVE</t>
  </si>
  <si>
    <t>7212 S WASHTENAW AVE</t>
  </si>
  <si>
    <t>1806 W 103RD ST</t>
  </si>
  <si>
    <t>3807 W 60TH ST</t>
  </si>
  <si>
    <t>114 N PARKSIDE AVE</t>
  </si>
  <si>
    <t>5757 S KENTON AVE</t>
  </si>
  <si>
    <t>944 N MASSASOIT AVE</t>
  </si>
  <si>
    <t>1321 W BIRCHWOOD AVE</t>
  </si>
  <si>
    <t>353 N CLARK ST</t>
  </si>
  <si>
    <t>600 E GRAND AVE</t>
  </si>
  <si>
    <t>4708 N AVERS AVE</t>
  </si>
  <si>
    <t>11601 W TOUHY AVE</t>
  </si>
  <si>
    <t>2052 W NORTH AVE</t>
  </si>
  <si>
    <t>11538 S JUSTINE ST</t>
  </si>
  <si>
    <t>2242 S DAMEN AVE</t>
  </si>
  <si>
    <t>8021 S BLACKSTONE AVE</t>
  </si>
  <si>
    <t>1723 N LOTUS AVE</t>
  </si>
  <si>
    <t>9335 S SOUTH CHICAGO AVE</t>
  </si>
  <si>
    <t>164 N LOTUS AVE</t>
  </si>
  <si>
    <t>4540 N SEELEY AVE</t>
  </si>
  <si>
    <t>10430 S SAWYER AVE</t>
  </si>
  <si>
    <t>10000 W OHARE ST</t>
  </si>
  <si>
    <t>6441 S SANGAMON ST</t>
  </si>
  <si>
    <t>12 S MICHIGAN AVE</t>
  </si>
  <si>
    <t>7900 S SOUTH SHORE DR</t>
  </si>
  <si>
    <t>3017 W ARMITAGE AVE</t>
  </si>
  <si>
    <t>2637 S HAMLIN AVE</t>
  </si>
  <si>
    <t>6200 S MONITOR AVE</t>
  </si>
  <si>
    <t>7758 S EUCLID AVE</t>
  </si>
  <si>
    <t>2880 S ARCHER AVE</t>
  </si>
  <si>
    <t>1410 S MUSEUM CAMPUS DR</t>
  </si>
  <si>
    <t>4241 W WASHINGTON BLVD</t>
  </si>
  <si>
    <t>454 N COLUMBUS DR</t>
  </si>
  <si>
    <t>3448 W WRIGHTWOOD AVE</t>
  </si>
  <si>
    <t>6415 N SHERIDAN RD</t>
  </si>
  <si>
    <t>4906 N HAMILTON AVE</t>
  </si>
  <si>
    <t>4950 N MARINE DR</t>
  </si>
  <si>
    <t>3709 N OAKLEY AVE</t>
  </si>
  <si>
    <t>1030 N HERMITAGE AVE</t>
  </si>
  <si>
    <t>211 E CHICAGO AVE</t>
  </si>
  <si>
    <t>8755 W HIGGINS RD</t>
  </si>
  <si>
    <t>8130 S LANGLEY AVE</t>
  </si>
  <si>
    <t>5956 N HERMITAGE AVE</t>
  </si>
  <si>
    <t>10133 S HALSTED ST</t>
  </si>
  <si>
    <t>1950 N BURLING ST</t>
  </si>
  <si>
    <t>10612 S MILLARD AVE</t>
  </si>
  <si>
    <t>2202 S HALSTED ST</t>
  </si>
  <si>
    <t>2610 N HALSTED ST</t>
  </si>
  <si>
    <t>9131 S LOOMIS ST</t>
  </si>
  <si>
    <t>10045 S PEORIA ST</t>
  </si>
  <si>
    <t>4824 W MONROE ST</t>
  </si>
  <si>
    <t>533 W 129TH PL</t>
  </si>
  <si>
    <t>1139 N KARLOV AVE</t>
  </si>
  <si>
    <t>11247 S TALMAN AVE</t>
  </si>
  <si>
    <t>5044 N WINCHESTER AVE</t>
  </si>
  <si>
    <t>11056 S SANGAMON ST</t>
  </si>
  <si>
    <t>800 W FULTON MARKET</t>
  </si>
  <si>
    <t>7955 S COLFAX AVE</t>
  </si>
  <si>
    <t>8454 S MICHIGAN AVE</t>
  </si>
  <si>
    <t>8618 S UNION AVE</t>
  </si>
  <si>
    <t>8026 S CONSTANCE AVE</t>
  </si>
  <si>
    <t>51 E OHIO ST</t>
  </si>
  <si>
    <t>6937 S TALMAN AVE</t>
  </si>
  <si>
    <t>5015 N CENTRAL AVE</t>
  </si>
  <si>
    <t>223 W 111TH PL</t>
  </si>
  <si>
    <t>5555 N CUMBERLAND AVE</t>
  </si>
  <si>
    <t>12100 S STEWART AVE</t>
  </si>
  <si>
    <t>1650 E 79TH ST</t>
  </si>
  <si>
    <t>7126 N MELVINA AVE</t>
  </si>
  <si>
    <t>9360 S BURNSIDE AVE</t>
  </si>
  <si>
    <t>1506 N GREENVIEW AVE</t>
  </si>
  <si>
    <t>2651 W JEROME ST</t>
  </si>
  <si>
    <t>816 W HUBBARD ST</t>
  </si>
  <si>
    <t>10830 S SACRAMENTO AVE</t>
  </si>
  <si>
    <t>7101 N MANKATO AVE</t>
  </si>
  <si>
    <t>5322 W ROSCOE ST</t>
  </si>
  <si>
    <t>2441 W GRENSHAW ST</t>
  </si>
  <si>
    <t>300 N LA SALLE DR</t>
  </si>
  <si>
    <t>2252 W CORTEZ ST</t>
  </si>
  <si>
    <t>3501 W POTOMAC AVE</t>
  </si>
  <si>
    <t>2743 N NEW ENGLAND AVE</t>
  </si>
  <si>
    <t>10409 S ARTESIAN AVE</t>
  </si>
  <si>
    <t>2938 N MELVINA AVE</t>
  </si>
  <si>
    <t>5620 W BELMONT AVE</t>
  </si>
  <si>
    <t>6511 N CENTRAL AVE</t>
  </si>
  <si>
    <t>2159 N LONG AVE</t>
  </si>
  <si>
    <t>503 W GRANT PL</t>
  </si>
  <si>
    <t>7459 N RIDGE BLVD</t>
  </si>
  <si>
    <t>2007 W BYRON ST</t>
  </si>
  <si>
    <t>55 W DELAWARE PL</t>
  </si>
  <si>
    <t>225 E CHICAGO AVE</t>
  </si>
  <si>
    <t>4819 W ROSEMONT AVE</t>
  </si>
  <si>
    <t>4511 N HERMITAGE AVE</t>
  </si>
  <si>
    <t>5158 W AGATITE AVE</t>
  </si>
  <si>
    <t>6221 W GUNNISON ST</t>
  </si>
  <si>
    <t>3919 W MONROE ST</t>
  </si>
  <si>
    <t>5910 W FOSTER AVE</t>
  </si>
  <si>
    <t>4418 N CALIFORNIA AVE</t>
  </si>
  <si>
    <t>3867 S ARCHER AVE</t>
  </si>
  <si>
    <t>3762 W MYRICK ST</t>
  </si>
  <si>
    <t>6450 N NEWGARD AVE</t>
  </si>
  <si>
    <t>4852 N MERRIMAC AVE</t>
  </si>
  <si>
    <t>858 N MOZART ST</t>
  </si>
  <si>
    <t>2025 W OHIO ST</t>
  </si>
  <si>
    <t>2001 S HALSTED ST</t>
  </si>
  <si>
    <t>5014 N MELVINA AVE</t>
  </si>
  <si>
    <t>1442 W 105TH ST</t>
  </si>
  <si>
    <t>222 S RIVERSIDE PLZ</t>
  </si>
  <si>
    <t>1435 W TAYLOR ST</t>
  </si>
  <si>
    <t>7708 W NORTH SHORE AVE</t>
  </si>
  <si>
    <t>11406 S ST LAWRENCE AVE</t>
  </si>
  <si>
    <t>8337 S CREGIER AVE</t>
  </si>
  <si>
    <t>5639 S ARTESIAN AVE</t>
  </si>
  <si>
    <t>315 N LOCKWOOD AVE</t>
  </si>
  <si>
    <t>2544 W MONTROSE AVE</t>
  </si>
  <si>
    <t>1501 W RANDOLPH ST</t>
  </si>
  <si>
    <t>4704 N HERMITAGE AVE</t>
  </si>
  <si>
    <t>4300 W FERDINAND ST</t>
  </si>
  <si>
    <t>7118 N ODELL AVE</t>
  </si>
  <si>
    <t>154 W ERIE ST</t>
  </si>
  <si>
    <t>6157 N SHERIDAN RD</t>
  </si>
  <si>
    <t>8536 W CARMEN AVE</t>
  </si>
  <si>
    <t>1830 W CHASE AVE</t>
  </si>
  <si>
    <t>1001 N LAKE SHORE DR</t>
  </si>
  <si>
    <t>9211 S SANGAMON ST</t>
  </si>
  <si>
    <t>6148 N HAMLIN AVE</t>
  </si>
  <si>
    <t>5815 S KIMBARK AVE</t>
  </si>
  <si>
    <t>639 W DIVERSEY PKWY</t>
  </si>
  <si>
    <t>3835 S CALUMET AVE</t>
  </si>
  <si>
    <t>4001 E 106TH ST</t>
  </si>
  <si>
    <t>222 E PEARSON ST</t>
  </si>
  <si>
    <t>6214 S WINCHESTER AVE</t>
  </si>
  <si>
    <t>5351 N LYNCH AVE</t>
  </si>
  <si>
    <t>2311 S KEDZIE AVE</t>
  </si>
  <si>
    <t>4311 W ADAMS ST</t>
  </si>
  <si>
    <t>300 N LEAVITT ST</t>
  </si>
  <si>
    <t>3343 S ABERDEEN ST</t>
  </si>
  <si>
    <t>9655 S HALSTED ST</t>
  </si>
  <si>
    <t>850 N LAKE SHORE DR</t>
  </si>
  <si>
    <t>4306 W 21ST ST</t>
  </si>
  <si>
    <t>6423 S KOSTNER AVE</t>
  </si>
  <si>
    <t>124 W POLK ST</t>
  </si>
  <si>
    <t>CHICAGO, IL</t>
  </si>
  <si>
    <t>AMATORE CHRIS</t>
  </si>
  <si>
    <t>SMITH DONALD</t>
  </si>
  <si>
    <t>SLATER LISA</t>
  </si>
  <si>
    <t>SZOSTAK JON</t>
  </si>
  <si>
    <t>C/O AUDELIO GARCIA GEO PROPERTY MANAGEMENT LLC</t>
  </si>
  <si>
    <t>SEDECIM LLC</t>
  </si>
  <si>
    <t>MENDELL MARY JO</t>
  </si>
  <si>
    <t>FOSTER ROCHELLE</t>
  </si>
  <si>
    <t>THE JOHN BUCK COMPANY</t>
  </si>
  <si>
    <t>HAWTHORNE SARAH</t>
  </si>
  <si>
    <t>ANDERSON FELIX</t>
  </si>
  <si>
    <t>FORCHIONE MIKE</t>
  </si>
  <si>
    <t>ORDAZ IRMA</t>
  </si>
  <si>
    <t>LEE EMERSON</t>
  </si>
  <si>
    <t>VK 235 ARTESIAN LLC</t>
  </si>
  <si>
    <t>WILLIAMS SHIRLEY V.</t>
  </si>
  <si>
    <t>WOJCIK MACIEJ</t>
  </si>
  <si>
    <t>SANCHEZ RUDOLPH</t>
  </si>
  <si>
    <t>KATZ ALAN</t>
  </si>
  <si>
    <t>DICKERSON ALBERT</t>
  </si>
  <si>
    <t>LIANG CHRIS</t>
  </si>
  <si>
    <t>ZHOU YIREN</t>
  </si>
  <si>
    <t>CASTREJON AGUSTIN</t>
  </si>
  <si>
    <t>SANCHEZ M RAMOS VICTOR</t>
  </si>
  <si>
    <t>KURANO MISO</t>
  </si>
  <si>
    <t>HEATH BARBARA</t>
  </si>
  <si>
    <t>SINGLE DAVID</t>
  </si>
  <si>
    <t>GEBHART KAREN</t>
  </si>
  <si>
    <t>BETZOLD ADAM</t>
  </si>
  <si>
    <t>SONEK ELECTRIC,INC.</t>
  </si>
  <si>
    <t>HORNE DORIS</t>
  </si>
  <si>
    <t>CIMINERA JOANNE</t>
  </si>
  <si>
    <t>LEE KEVIN</t>
  </si>
  <si>
    <t>KADZBAN ADAM</t>
  </si>
  <si>
    <t>RYCROFT REAL ESTATE LLC</t>
  </si>
  <si>
    <t>JACKSON RICHARD</t>
  </si>
  <si>
    <t>MARTINEZ GEORGE</t>
  </si>
  <si>
    <t>SHEA BRENDAN</t>
  </si>
  <si>
    <t>1115 S PLYMOUTH CT CONDO ASSN</t>
  </si>
  <si>
    <t>INOCENCIO NICO</t>
  </si>
  <si>
    <t>BARRAZA JOSE L</t>
  </si>
  <si>
    <t>PAGE SAM</t>
  </si>
  <si>
    <t>BEVERLY WOODS LLC</t>
  </si>
  <si>
    <t>VELASCO GARCIA JAVIER</t>
  </si>
  <si>
    <t>5644 W WASHINGTON BLVD HOLDINGS LLC</t>
  </si>
  <si>
    <t>5757 KENTON CONDO ASSOCIATION</t>
  </si>
  <si>
    <t>GILLESPIE STEPHANIE</t>
  </si>
  <si>
    <t>BRITT PETER</t>
  </si>
  <si>
    <t>CITADEL ENTERPRISE AMERICAS LLC</t>
  </si>
  <si>
    <t>NAVY PIER, INC.</t>
  </si>
  <si>
    <t>MURAWSKI RENEE</t>
  </si>
  <si>
    <t>CHICAGO DEPARTMENT OF AVIATION</t>
  </si>
  <si>
    <t>SHIPHOUSE CONDOMINIUM ASSOCIATION DEBBIE ROBERTS</t>
  </si>
  <si>
    <t>JONES ANTHONY</t>
  </si>
  <si>
    <t>MADDOX KENYATA</t>
  </si>
  <si>
    <t>LANFORD KAREN</t>
  </si>
  <si>
    <t>TAYLOR BEVERYLY</t>
  </si>
  <si>
    <t>UNIQUE 3 APT. LLC</t>
  </si>
  <si>
    <t>GUGLY INC.</t>
  </si>
  <si>
    <t>HARDY JAMES</t>
  </si>
  <si>
    <t>LOIS ALYSSA</t>
  </si>
  <si>
    <t>UNITED AIRLINES</t>
  </si>
  <si>
    <t>ELZY BOBBY</t>
  </si>
  <si>
    <t>CAA HOTEL OWNER LLC</t>
  </si>
  <si>
    <t>PSARAKIS ANTHONY</t>
  </si>
  <si>
    <t>BABE'S SPORTS BAR LLC</t>
  </si>
  <si>
    <t>CAMARGO MANUEL</t>
  </si>
  <si>
    <t>SCHMIDT MICHAEL</t>
  </si>
  <si>
    <t>DEGAND STEPHANIE</t>
  </si>
  <si>
    <t>AUYEUNG KINMAN</t>
  </si>
  <si>
    <t>ATTN: DAN COOPER CHICAGO PARK DISTRICT (CPD)</t>
  </si>
  <si>
    <t>NEW MOUNT PILGRIM CHURCH</t>
  </si>
  <si>
    <t>NBC TOWER</t>
  </si>
  <si>
    <t>KAEMPF KEVIN</t>
  </si>
  <si>
    <t>LLC ERNST &amp; YOUNG</t>
  </si>
  <si>
    <t>HORIZON REALTY GROUP</t>
  </si>
  <si>
    <t>ORTIZ JOSE</t>
  </si>
  <si>
    <t>SHORELINE PARK CONDOMINIUMS</t>
  </si>
  <si>
    <t>3711 OAKLEY LLC</t>
  </si>
  <si>
    <t>GIRAUD MARISOL</t>
  </si>
  <si>
    <t>ANN&amp;ROBERT H. LURIE CHILDREN'S HOSPITAL OF CHICAGO</t>
  </si>
  <si>
    <t>PATTON TIM</t>
  </si>
  <si>
    <t>VOLTZ AND ASSOCIATES ENTERPRISE LLC</t>
  </si>
  <si>
    <t>WILLIAMS SAMANTHA</t>
  </si>
  <si>
    <t>GATLING'S CHAPEL</t>
  </si>
  <si>
    <t>CHICAGO TITLE LAND TRUST COMPANY -TRUST#8002378631</t>
  </si>
  <si>
    <t>SHALABI MAJDI</t>
  </si>
  <si>
    <t>HUSAR CHEYENNE</t>
  </si>
  <si>
    <t>MORSBACH KATHY</t>
  </si>
  <si>
    <t>WASHINGTON DEANGELO</t>
  </si>
  <si>
    <t>WALKER PHYLLIS</t>
  </si>
  <si>
    <t>WINTERS MARVIN</t>
  </si>
  <si>
    <t>WALTER ROBERT</t>
  </si>
  <si>
    <t>BELL KINIA</t>
  </si>
  <si>
    <t>MACKINNON JOHN</t>
  </si>
  <si>
    <t>LU HAIBO</t>
  </si>
  <si>
    <t>RAMZEY D LLC</t>
  </si>
  <si>
    <t>THOR EQUITIES</t>
  </si>
  <si>
    <t>TARBELL JOSE</t>
  </si>
  <si>
    <t>THORNTON BOOKER</t>
  </si>
  <si>
    <t>WINFIELD ANNETTE</t>
  </si>
  <si>
    <t>STEELE ROBERTA</t>
  </si>
  <si>
    <t>SNB 120 OWNER, LLC</t>
  </si>
  <si>
    <t>DIAZ YVONNE</t>
  </si>
  <si>
    <t>KAPITAL ELECTRIC CO., INC</t>
  </si>
  <si>
    <t>TRANTHAM LILLIE</t>
  </si>
  <si>
    <t>SZYSZKO JOHN</t>
  </si>
  <si>
    <t>COTTON CRYSTAL</t>
  </si>
  <si>
    <t>MULCAM, INC.</t>
  </si>
  <si>
    <t>MCGUIRE DAVID</t>
  </si>
  <si>
    <t>LOPEZ RIGO</t>
  </si>
  <si>
    <t>STEELE ALLISA</t>
  </si>
  <si>
    <t>CARTER AMY</t>
  </si>
  <si>
    <t>LYNCH MATT</t>
  </si>
  <si>
    <t>JOHNSON MICHAEL</t>
  </si>
  <si>
    <t>O'HARE PLAZA LLC</t>
  </si>
  <si>
    <t>SANTOS GILBERTO</t>
  </si>
  <si>
    <t>MUNOZ EPITACIO</t>
  </si>
  <si>
    <t>300 N. LASALLE LLC</t>
  </si>
  <si>
    <t>ST. VOLODYMYR UKRAINIAN ORTHODOX CATHEDRAL</t>
  </si>
  <si>
    <t>SCHOOLS CHICAGO PUBLIC</t>
  </si>
  <si>
    <t>MURPHY GREGORY</t>
  </si>
  <si>
    <t>MITCHELL JACOB</t>
  </si>
  <si>
    <t>VICENCIO ROMMEL</t>
  </si>
  <si>
    <t>MOONBEAM INVESTMENT CORP</t>
  </si>
  <si>
    <t>BERMAN ARIC</t>
  </si>
  <si>
    <t>BANEGAS KANDY</t>
  </si>
  <si>
    <t>NEMEROVSKI RACHEL</t>
  </si>
  <si>
    <t>HUNTER TIAWANA</t>
  </si>
  <si>
    <t>THE KRENGER COMPANY</t>
  </si>
  <si>
    <t>PARK NEWBERRY CONDO ASSOCIATION</t>
  </si>
  <si>
    <t>ANN &amp; ROBERT H. LURIE CHILDREN'S HOSP. OF CHICAGO</t>
  </si>
  <si>
    <t>LESZCZYNSKL CECELIA</t>
  </si>
  <si>
    <t>UNITED METHODIST CHURCH RAVENSWOOD FELLOWSHIP</t>
  </si>
  <si>
    <t>POP IOAN VIOREL</t>
  </si>
  <si>
    <t>MAISONET JAVIER</t>
  </si>
  <si>
    <t>NEGRON EDWARD</t>
  </si>
  <si>
    <t>MASSETTI VIRGINIA</t>
  </si>
  <si>
    <t>WADHWA GAUTAM</t>
  </si>
  <si>
    <t>MCDONALD'S USA, LLC</t>
  </si>
  <si>
    <t>ARMAS NORMA</t>
  </si>
  <si>
    <t>WINCK IRIO</t>
  </si>
  <si>
    <t>IVY KENDALL</t>
  </si>
  <si>
    <t>PEAK PROPERTIES</t>
  </si>
  <si>
    <t>TOMES CHRISTOPHER</t>
  </si>
  <si>
    <t>ADB ENTERTAINMENT INC</t>
  </si>
  <si>
    <t>BOOTHROYD HILDA</t>
  </si>
  <si>
    <t>WHELAN LEILA</t>
  </si>
  <si>
    <t>JONES LANG LASALLE AMERICAS INC.</t>
  </si>
  <si>
    <t>SISTO JOSEPHINE</t>
  </si>
  <si>
    <t>BRULLE ART</t>
  </si>
  <si>
    <t>COOPER ROBERT</t>
  </si>
  <si>
    <t>AVILA EFRIEN</t>
  </si>
  <si>
    <t>RATLIFF KIMBERLY</t>
  </si>
  <si>
    <t>SCIONHEALTH</t>
  </si>
  <si>
    <t>UNIVERSAL MASONRY GROUP INC</t>
  </si>
  <si>
    <t>ASHKENAZ DAVID</t>
  </si>
  <si>
    <t>ZOCK JENNIFER</t>
  </si>
  <si>
    <t>EL LAGO CONDOMINIUM ASSOCIATION</t>
  </si>
  <si>
    <t>BYK WALENTY</t>
  </si>
  <si>
    <t>HAGUE EVAN</t>
  </si>
  <si>
    <t>DRAKES NIA</t>
  </si>
  <si>
    <t>SMAILOVIC MIRZA</t>
  </si>
  <si>
    <t>THE</t>
  </si>
  <si>
    <t>GODINEZ SUSAN</t>
  </si>
  <si>
    <t>MAYNARD MIA</t>
  </si>
  <si>
    <t>BAR INC CROW</t>
  </si>
  <si>
    <t>222 EAST PEARSON CONDO ASSOCIATION</t>
  </si>
  <si>
    <t>COBOS ALEJANDRO</t>
  </si>
  <si>
    <t>NEPAL RAGHBENDRA</t>
  </si>
  <si>
    <t>2 FM FLEET AND FACILITY MANAGEMENT</t>
  </si>
  <si>
    <t>MILLARD JAMIE</t>
  </si>
  <si>
    <t>VULICH DENIS</t>
  </si>
  <si>
    <t>HENDRICKSON MATTHEW</t>
  </si>
  <si>
    <t>THURMAN SHIRLEY</t>
  </si>
  <si>
    <t>850 NORTH LAKESHORE PROPERTY, LLC</t>
  </si>
  <si>
    <t>SKORA MIROSLAW</t>
  </si>
  <si>
    <t>SANCHEZ JUSTIN/MARIA</t>
  </si>
  <si>
    <t>FOLIO SQUARE CONDOMINIUM ASSOCIATION</t>
  </si>
  <si>
    <t>LINE VOLTAGE ELECTRICAL WORK. NEW PERMANENT 100 AMP SERVICE DISCONNECTING MEANS WITH 1 CIRCUITS. RECEPTACLE OUTLETS: 1 . LIGHTING OUTLETS: 1. SPECIFIC LOCATION: BASEMENT AND REAR.</t>
  </si>
  <si>
    <t>LOW VOLTAGE/COMMUNICATION ELECTRICAL WORK. ALTER EXISTING OTHER. SPECIFIC LOCATION: NORTHWEST SIDE OF THE HOUSE.</t>
  </si>
  <si>
    <t>LINE VOLTAGE ELECTRICAL WORK. NEW PERMANENT 200 AMP SERVICE DISCONNECTING MEANS WITH 22 CIRCUITS. RECEPTACLE OUTLETS: 2 . LIGHTING OUTLETS: 0. SPECIFIC LOCATION: UNIT 1 AND UNIT 2.</t>
  </si>
  <si>
    <t>LOW VOLTAGE/COMMUNICATION ELECTRICAL WORK. ALTER EXISTING OTHER. SPECIFIC LOCATION: SOUTHEAST SIDE OF THE HOUSE.</t>
  </si>
  <si>
    <t>LINE VOLTAGE ELECTRICAL WORK. REPAIR OR ALTER DEVICES ON EXISTING CIRCUITS. RECEPTACLE OUTLETS: 1 . LIGHTING OUTLETS: 1. SPECIFIC LOCATION: KITCHEN 1 LIGHT FIXTURE 1 GFI OUTLET.</t>
  </si>
  <si>
    <t>TUCKPOINTING AND UNIT MASONRY REPAIR / REPLACEMENT: 2500 SQ. FT., LINTEL QTY. 56, MAX. LENGTH 9. PARAPET REBUILDING: 500 SQ. FT. LOCATION: REPLACE LINTELS , REPAER EXISTING EXTERIOR WALL.</t>
  </si>
  <si>
    <t>TUCKPOINTING AND UNIT MASONRY REPAIR / REPLACEMENT: 480 SQ. FT., LINTEL QTY. 0, MAX. LENGTH 0. LOCATION: FRONT FACADE.</t>
  </si>
  <si>
    <t>LOW VOLTAGE/COMMUNICATION ELECTRICAL WORK. INSTALL OTHER. SPECIFIC LOCATION: SOUTHWEST SIDE OF THE HOUSE.</t>
  </si>
  <si>
    <t>LOW VOLTAGE/COMMUNICATION ELECTRICAL WORK. ALTER EXISTING OTHER. SPECIFIC LOCATION: 20, 21, 22.</t>
  </si>
  <si>
    <t>REPAIR OR IN-KIND REPLACEMENT OF 2 PLUMBING FIXTURES AS DESCRIBED IN PERMIT APPLICATION.  LOCATIONS: 2 RESIDENTIAL UNIT(S), 0 NON-RESIDENTIAL UNIT(S), BATHROOM REPLACE TOILET AND SINK.</t>
  </si>
  <si>
    <t>FULL REBUILD (SAME AS EXISTING) FOR WOOD EXTERIOR STAIRWAY (QUANTITY: 1, LOCATION: NORTH SIDE OF BUILDING).  LANDING: 33 SQUARE FEET.  LANDING NOT MORE THAN 6 FEET ABOVE GROUND.</t>
  </si>
  <si>
    <t>LINE VOLTAGE ELECTRICAL WORK. NEW PERMANENT 27 AMP SERVICE DISCONNECTING MEANS WITH 2 CIRCUITS. RECEPTACLE OUTLETS: 1 . LIGHTING OUTLETS: 0. SPECIFIC LOCATION: SOUTHEAST SIDE OF THE HOUSE.</t>
  </si>
  <si>
    <t>NEW DETACHED WOOD FRAME GARAGE. DIMENSIONS AND SETBACKS PER APPLICATION. BUILDING OUTSIDE DIMENSIONS: 20'-0' ' X20'-0' '. HIP ROOF HEIGHT TO PEAK: 12'-0' '.</t>
  </si>
  <si>
    <t>LINE VOLTAGE ELECTRICAL WORK. REPAIR OR ALTER DEVICES ON EXISTING CIRCUITS. RECEPTACLE OUTLETS: 1 . LIGHTING OUTLETS: 0. SPECIFIC LOCATION: BACKYARD.</t>
  </si>
  <si>
    <t>NEW DETACHED WOOD FRAME GARAGE. DIMENSIONS AND SETBACKS PER APPLICATION. BUILDING OUTSIDE DIMENSIONS: 22'-0' ' X22'-0' '. HIP ROOF HEIGHT TO PEAK: 13'-0' '.</t>
  </si>
  <si>
    <t>REPAIR OR IN-KIND REPLACEMENT OF 13 PLUMBING FIXTURES AS DESCRIBED IN PERMIT APPLICATION.  REPAIR OR IN-KIND REPLACEMENT OF HOT WATER HEATER(S).  INCLUDES REPAIR OR REPLACMENT OF PLUMBING PIPING.  INCLUDES REPAIR OR REPLACEMENT OF PLUMBING RISERS IN EXISTING CHASES.  LOCATIONS: 0 RESIDENTIAL UNIT(S), 1 NON-RESIDENTIAL UNIT(S), OFFICE AND WAREHOUSE.</t>
  </si>
  <si>
    <t>TUCKPOINTING AND UNIT MASONRY REPAIR / REPLACEMENT: 2512 SQ. FT., LINTEL QTY. 3, MAX. LENGTH 9. LOCATION: FRONT AND SIDES.</t>
  </si>
  <si>
    <t>REPAIR (26% TO 50%) FOR WOOD DECK (NON-ROOFTOP) (QUANTITY: 1, LOCATION: REAR OF BUILDING).  LANDING: 65 SQUARE FEET.  LANDING NOT MORE THAN 6 FEET ABOVE GROUND.</t>
  </si>
  <si>
    <t>IN-KIND REPLACEMENT OF EXTERIOR WINDOWS AND DOORS IN EXISTING OPENINGS. REPLACEMENT WINDOWS: 2; REPLACEMENT SKYLIGHTS: 0; REPLACEMENT DOORS: 2. AFFECTS: 0 RESIDENTIAL UNIT(S), 1 NON-RESIDENTIAL UNIT(S), LOCATION: REAR FACADE.</t>
  </si>
  <si>
    <t>LINE VOLTAGE ELECTRICAL WORK. REPAIR OR ALTER DEVICES ON EXISTING CIRCUITS. RECEPTACLE OUTLETS: 4 . LIGHTING OUTLETS: 1. SPECIFIC LOCATION: LIGHT FIXTURE AND GFI IN KITCHEN.</t>
  </si>
  <si>
    <t>REPAIR OR IN-KIND REPLACEMENT OF 1 PLUMBING FIXTURES AS DESCRIBED IN PERMIT APPLICATION.  LOCATIONS: 1 RESIDENTIAL UNIT(S), 0 NON-RESIDENTIAL UNIT(S), KITCHEN SINK.</t>
  </si>
  <si>
    <t>SCOPE: NONSTRUCTURAL INTERIOR REPLACEMENT OF DRYWALL ONLY - NO OTHER WORK.LOCATIONS: 1 RESIDENTIAL UNIT(S), 0 NON-RESIDENTIAL UNIT(S), KITCHEN 100SF DRY WALL.</t>
  </si>
  <si>
    <t>REPAIR/REPLACEMENT AFFECTING 1 SYSTEMS :   1 ROOFTOP PACKAGED UNIT(YORK = MODEL# KE060H12B2AAAAA1A1  ROOF) . ELECTRICAL WORK UNDER THIS PERMIT = NO . LOCATIONS: 0 RESIDENTIAL UNIT(S), 1 NON-RESIDENTIAL UNIT(S), EXTERIOR WORK,  ROOFTOP. | SPECIAL CONDITION: CONTACT REFRIGERATION SUPERVISOR CLEMENT GAVIN 312-743-3562, PRIOR TO THE INSTALLATION OF ANY ROOFTOP EQUIPMENT, TO SCHEDULE AN INSPECTION.</t>
  </si>
  <si>
    <t>INSTALL SOLAR PANELS ON ROOF OF PRINCIPAL BUILDING. ROOF TYPE: STEEP (&gt;5:12). INVERTER OUTPUT: 10 KW. ARRAY OUTPUT: 4.92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B200436464.* ALL EQUIPMENT, CONNECTORS, RACEWAYS, TAPS, MUST BE LISTED AND LABELED FOR USE.</t>
  </si>
  <si>
    <t>INSTALL SOLAR PANELS ON ROOF OF ACCESSORY BUILDING. ROOF TYPE: STEEP (&gt;5:12). INVERTER OUTPUT: 11.5 KW. ARRAY OUTPUT: 0.01247 KW.   INCLUDES 11.5 KWH ENERGY STORAGE SYSTEM.  LOCATION: ROOFTOP. ICC DISTRIBUTED GENERATION INSTALLER CERT. #24-0198. | SPECIAL CONDITION: * NEC REFERENCES TO BE OMITTED FROM DRAWINGS, ALL GENERAL ELECTRICAL NOTES SHALL REFERENCE CEC 2018. * REFER TO SOLAR (PRINCIPAL) B200433930.* UNDERGROUND RACEWAY TO BE INSPECTED BY AHJ PRIOR TO COVERING. 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</si>
  <si>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</si>
  <si>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LINE VOLTAGE ELECTRICAL WORK. REPAIR OR ALTER DEVICES ON EXISTING CIRCUITS. RECEPTACLE OUTLETS: 1 . LIGHTING OUTLETS: 1. SPECIFIC LOCATION: UNIT 3 AND COMMON STAIRWAY AREA LIGHTING PER VIOLA.</t>
  </si>
  <si>
    <t>SCOPE: ROOF REPLACEMENT. AREA: 2373 SQ. FT. ROOF COVERING: ASPHALT SHINGLES. LOCATION: HOUSE AND GARAGE. IL ROOFING CONTRACTOR LICENSE: 104.01899.</t>
  </si>
  <si>
    <t>SCOPE: ROOF REPLACEMENT. AREA: 25 SQ. FT. ROOF COVERING: ASPHALT SHINGLES. LOCATION: REROOF. IL ROOFING CONTRACTOR LICENSE: 104.01966.</t>
  </si>
  <si>
    <t>SCOPE: NONSTRUCTURAL INTERIOR REPAIR TO EXTERIOR/INTERIOR WALL IMPACTED BY VEHICLE AT WALL AND CEILING SECTION, INSTALL DRYWALL AND INSULATION, AND WINDOW(S). LOCATIONS: 1 RESIDENTIAL UNIT(S), 0 NON-RESIDENTIAL UNIT(S), 1 INTERIOR COMMON AREAS, LIVING ROOM.</t>
  </si>
  <si>
    <t>INSTALL SOLAR PANELS ON ROOF OF PRINCIPAL BUILDING. ROOF TYPE: SLOPED (2:12 TO 5:12). INVERTER OUTPUT: 10 KW. ARRAY OUTPUT: 5.74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 B200436170.* ALL EQUIPMENT, CONNECTORS, RACEWAYS, TAPS, MUST BE LISTED AND LABELED FOR USE.</t>
  </si>
  <si>
    <t>INSTALL SOLAR PANELS ON ROOF OF PRINCIPAL BUILDING. ROOF TYPE: STEEP (&gt;5:12). INVERTER OUTPUT: 7.36 KW. ARRAY OUTPUT: 9.775 KW.   INCLUDES 10 KWH ENERGY STORAGE SYSTEM.  LOCATION: ROOFING. ICC DISTRIBUTED GENERATION INSTALLER CERT. #25-0056.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</si>
  <si>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1 . LIGHTING OUTLETS: 0. SPECIFIC LOCATION: UNIT# 26K: CONDO ELEC PNL WALL AREA.</t>
  </si>
  <si>
    <t>LINE VOLTAGE ELECTRICAL WORK. REPAIR OR ALTER DEVICES ON EXISTING CIRCUITS. RECEPTACLE OUTLETS: 1 . LIGHTING OUTLETS: 0. SPECIFIC LOCATION: UNIT# 811: CONDO WALL.</t>
  </si>
  <si>
    <t>LINE VOLTAGE ELECTRICAL WORK. REPAIR OR ALTER DEVICES ON EXISTING CIRCUITS. RECEPTACLE OUTLETS: 3 . LIGHTING OUTLETS: 2. SPECIFIC LOCATION: GARAGE. | SPECIAL CONDITION: SEE RENOVATION PERMIT NO 101063737</t>
  </si>
  <si>
    <t>FULL REBUILD (SAME AS EXISTING) FOR WOOD EXTERIOR STAIRWAY (QUANTITY: 1, LOCATION: FRONT OF BUILDING).  LANDING: 31 SQUARE FEET.  LANDING NOT MORE THAN 6 FEET ABOVE GROUND.</t>
  </si>
  <si>
    <t>LINE VOLTAGE ELECTRICAL WORK. NEW PERMANENT 200 AMP SERVICE DISCONNECTING MEANS WITH 20 CIRCUITS. RECEPTACLE OUTLETS: 1 . LIGHTING OUTLETS: 1. SPECIFIC LOCATION: BASEMENT, BACK FACADE.</t>
  </si>
  <si>
    <t>SCOPE: NONSTRUCTURAL INTERIOR ALTERATION TO REMOVE ONE EXISTING 2ND FLOOR BEDROOM DOOR   PARTITION FOR AN OPEN BREAKFAST AREA.LOCATIONS: 1 RESIDENTIAL UNIT(S), 0 NON-RESIDENTIAL UNIT(S), 268 W 23RD ST , SECOND FL.</t>
  </si>
  <si>
    <t>SCOPE: NONSTRUCTURAL INTERIOR REPLACEMENT OF DRYWALL ONLY (NO OTHER WORK).LOCATIONS: 1 RESIDENTIAL UNIT(S), 0 NON-RESIDENTIAL UNIT(S), FIRST FLOOR. | SPECIAL CONDITION: NO ELECTRICAL, PLUMBING OR DUCTWORK, NO FLOOR PLAN ALTERATIONS OR REMOVAL OF WALLS.</t>
  </si>
  <si>
    <t>LINE VOLTAGE ELECTRICAL WORK. REPAIR OR ALTER DEVICES ON EXISTING CIRCUITS. RECEPTACLE OUTLETS: 1 . LIGHTING OUTLETS: 1. SPECIFIC LOCATION: UPGRADE SERVICE.</t>
  </si>
  <si>
    <t>TUCKPOINTING AND UNIT MASONRY REPAIR / REPLACEMENT: 2800 SQ. FT., LINTEL QTY. 0, MAX. LENGTH 0. LOCATION: BUILDING EXTERIOR  BRICKS.</t>
  </si>
  <si>
    <t>LINE VOLTAGE ELECTRICAL WORK. REPAIR OR ALTER DEVICES ON EXISTING CIRCUITS. RECEPTACLE OUTLETS: 10 . LIGHTING OUTLETS: 0. SPECIFIC LOCATION: BASEMENT.</t>
  </si>
  <si>
    <t>PURPOSE: NEW/REPLACEMENT INSTALLATION. WOOD FENCE - 6'-0' ' (HEIGHT) X 79'-0' ' (LENGTH). LOCATION: BACKYARD.</t>
  </si>
  <si>
    <t>LINE VOLTAGE ELECTRICAL WORK. REPAIR OR ALTER DEVICES ON EXISTING CIRCUITS. RECEPTACLE OUTLETS: 1 . LIGHTING OUTLETS: 0. ELECTRIC VEHICLE SUPPLY EQUIPMENT:1 SPACES. SPECIFIC LOCATION: BLDG ELEC RM, INSIDE GARAGE - PARKING SPOTS.</t>
  </si>
  <si>
    <t>LINE VOLTAGE ELECTRICAL WORK. NEW PERMANENT 600 AMP SERVICE DISCONNECTING MEANS WITH 1 CIRCUITS. RECEPTACLE OUTLETS: 10 . LIGHTING OUTLETS: 10. SPECIFIC LOCATION: BACK OF BUILDING. | SPECIAL CONDITION: * PLEASE PROVIDE LOAD CALCULATIONS AS PER CEC 2018 215.5</t>
  </si>
  <si>
    <t>LINE VOLTAGE ELECTRICAL WORK. REPAIR OR ALTER DEVICES ON EXISTING CIRCUITS. RECEPTACLE OUTLETS: 24 . LIGHTING OUTLETS: 9. SPECIFIC LOCATION: KITCHEN LIVINGROOM BEDROOMS BATHROOM.</t>
  </si>
  <si>
    <t>SCOPE: ROOF REPLACEMENT. AREA: 1803 SQ. FT. ROOF COVERING: ASPHALT SHINGLES. LOCATION: ON TOP OF THE ROOF. IL ROOFING CONTRACTOR LICENSE: 104.02017.</t>
  </si>
  <si>
    <t>LINE VOLTAGE ELECTRICAL WORK. REPAIR OR ALTER DEVICES ON EXISTING CIRCUITS. RECEPTACLE OUTLETS: 1 . LIGHTING OUTLETS: 0. SPECIFIC LOCATION: FIRST FLOOR STORE AND BASEMENT ELECTRIC ROOM.</t>
  </si>
  <si>
    <t>TUCKPOINTING AND UNIT MASONRY REPAIR / REPLACEMENT: 800 SQ. FT., LINTEL QTY. 0, MAX. LENGTH 0. LOCATION: ALL ELEVATIONS OF HOUSE AND GARAGE.</t>
  </si>
  <si>
    <t>LINE VOLTAGE ELECTRICAL WORK. REPAIR OR ALTER DEVICES ON EXISTING CIRCUITS. RECEPTACLE OUTLETS: 20 . LIGHTING OUTLETS: 7. SPECIFIC LOCATION: APARTMENT 114-G2.</t>
  </si>
  <si>
    <t>TUCKPOINTING AND UNIT MASONRY REPAIR / REPLACEMENT: 400 SQ. FT., LINTEL QTY. 0, MAX. LENGTH 0. LOCATION: NORTH, SOUTH, REAR EXTERIOR BRICK WALLS.</t>
  </si>
  <si>
    <t>LINE VOLTAGE ELECTRICAL WORK. NEW PERMANENT 200 AMP SERVICE DISCONNECTING MEANS WITH 20 CIRCUITS. RECEPTACLE OUTLETS: 1 . LIGHTING OUTLETS: 0. SPECIFIC LOCATION: BASEMENT.</t>
  </si>
  <si>
    <t>SCOPE: ROOF REPLACEMENT. AREA: 7000 SQ. FT. ROOF COVERING: OTHER. LOCATION: ROOFING. IL ROOFING CONTRACTOR LICENSE: 104016981.</t>
  </si>
  <si>
    <t>LOW VOLTAGE/COMMUNICATION ELECTRICAL WORK. INSTALL SECURITY. SPECIFIC LOCATION: ENTIRE 33RD AND 34TH FLOOR.</t>
  </si>
  <si>
    <t>LINE VOLTAGE ELECTRICAL WORK. REPAIR OR ALTER DEVICES ON EXISTING CIRCUITS. RECEPTACLE OUTLETS: 12 . LIGHTING OUTLETS: 12. SPECIFIC LOCATION: FLOORS 1-3.</t>
  </si>
  <si>
    <t>LINE VOLTAGE ELECTRICAL WORK. ADD 1 CIRCUITS TO EXISTING 100 AMP SERVICE DISCONNECTING MEANS. RECEPTACLE OUTLETS: 1 . LIGHTING OUTLETS: 0. ELECTRIC VEHICLE SUPPLY EQUIPMENT:1 SPACES. SPECIFIC LOCATION: BASEMENT &amp; GARAGE.</t>
  </si>
  <si>
    <t>LINE VOLTAGE ELECTRICAL WORK. REPAIR OR ALTER DEVICES ON EXISTING CIRCUITS. RECEPTACLE OUTLETS: 1 . LIGHTING OUTLETS: 1. SPECIFIC LOCATION: HILTON CHICAGO O'HARE.</t>
  </si>
  <si>
    <t>SCOPE: ROOF REPLACEMENT. AREA: 4100 SQ. FT. ROOF COVERING: BUILT-UP ROOF. LOCATION: ROOF REPLACEMENT, NO CHANGES TO STRUCTURE. IL ROOFING CONTRACTOR LICENSE: 104016654.</t>
  </si>
  <si>
    <t>SCOPE: ROOF REPLACEMENT. AREA: 2000 SQ. FT. ROOF COVERING: ASPHALT SHINGLES. LOCATION: REROOF. IL ROOFING CONTRACTOR LICENSE: 104020472.</t>
  </si>
  <si>
    <t>INSTALL SOLAR PANELS ON ROOF OF PRINCIPAL BUILDING. ROOF TYPE: SLOPED (2:12 TO 5:12). INVERTER OUTPUT: 5.22 KW. ARRAY OUTPUT: 7.65 KW.  LOCATION: ROOF AND EXTERIOR.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ETC... MUST BE LISTED AND LABELED FOR USE.</t>
  </si>
  <si>
    <t>PURPOSE: NEW/REPLACEMENT INSTALLATION. CHAIN LINK FENCE - 6'-0' ' (HEIGHT) X 95'-0' ' (LENGTH). WOOD FENCE - 6'-0' ' (HEIGHT) X 4'-0' ' (LENGTH). LOCATION: FRONT AND REAR OF HOUSE.</t>
  </si>
  <si>
    <t>TUCKPOINTING AND UNIT MASONRY REPAIR / REPLACEMENT: 100 SQ. FT., LINTEL QTY. 0, MAX. LENGTH 0. LOCATION: GARAGE.</t>
  </si>
  <si>
    <t>TUCKPOINTING AND UNIT MASONRY REPAIR / REPLACEMENT: 1000 SQ. FT., LINTEL QTY. 0, MAX. LENGTH 0. PARAPET REBUILDING: 1000 SQ. FT. LOCATION: NE CORNER PARAPET.</t>
  </si>
  <si>
    <t>INSTALL SOLAR PANELS ON ROOF OF ACCESSORY BUILDING. ROOF TYPE: SLOPED (2:12 TO 5:12). INVERTER OUTPUT: 11.5 KW. ARRAY OUTPUT: 0.77129 KW.   INCLUDES 13.5 KWH ENERGY STORAGE SYSTEM.  LOCATION: INTERIOR OF DETACHED GARAGE. ICC DISTRIBUTED GENERATION INSTALLER CERT. #18-0853. | SPECIAL CONDITION: * NEC REFERENCES TO BE OMITTED FROM DRAWINGS, ALL GENERAL ELECTRICAL NOTES SHALL REFERENCE CEC 2018. * PLEASE REFER TO SOLAR (PRINCIPAL) PERMIT B200436366.* UNDERGROUND RACEWAY TO BE INSPECTED BY AHJ PRIOR TO COVERING. * ALL EQUIPMENT, CONNECTORS, RACEWAYS, TAPS, MUST BE LISTED AND LABELED FOR USE.</t>
  </si>
  <si>
    <t>INSTALL SOLAR PANELS ON ROOF OF PRINCIPAL BUILDING. ROOF TYPE: SLOPED (2:12 TO 5:12). INVERTER OUTPUT: 6.08 KW. ARRAY OUTPUT: 7.2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</si>
  <si>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2 . LIGHTING OUTLETS: 0. SPECIFIC LOCATION: UNITED AIRLINES TERMINAL #1 C CONCOURSE.</t>
  </si>
  <si>
    <t>FULL REBUILD (SAME AS EXISTING) FOR WOOD PORCH (OPEN) (QUANTITY: 1, LOCATION: REAR OF BUILDING).</t>
  </si>
  <si>
    <t>REPAIR OR IN-KIND REPLACEMENT OF 3 PLUMBING FIXTURES AS DESCRIBED IN PERMIT APPLICATION.  INCLUDES REPAIR OR REPLACMENT OF PLUMBING PIPING.  LOCATIONS: 0 RESIDENTIAL UNIT(S), 1 NON-RESIDENTIAL UNIT(S), SECOND FLOOR. | SPECIAL CONDITION: NO EXTERIOR WORK TO OCCUR WITH THIS APPROVAL.</t>
  </si>
  <si>
    <t>LINE VOLTAGE ELECTRICAL WORK. REPAIR OR ALTER DEVICES ON EXISTING CIRCUITS. RECEPTACLE OUTLETS: 1 . LIGHTING OUTLETS: 1. SPECIFIC LOCATION: INSIDE OF GROCERY STORE.</t>
  </si>
  <si>
    <t>LINE VOLTAGE ELECTRICAL WORK. REPAIR OR ALTER DEVICES ON EXISTING CIRCUITS. RECEPTACLE OUTLETS: 20 . LIGHTING OUTLETS: 40. SPECIFIC LOCATION: 3017 STOREFRONT IN 3009 BUILDING. | SPECIAL CONDITION: NO OTHER WORK.</t>
  </si>
  <si>
    <t>SCOPE: ROOF REPLACEMENT. AREA: 1200 SQ. FT. ROOF COVERING: SLATE SHINGLES. LOCATION: THE ROOF. IL ROOFING CONTRACTOR LICENSE: 104018973.</t>
  </si>
  <si>
    <t>LINE VOLTAGE ELECTRICAL WORK. NEW PERMANENT 200 AMP SERVICE DISCONNECTING MEANS WITH 1 CIRCUITS. RECEPTACLE OUTLETS: 1 . LIGHTING OUTLETS: 0. 13.5 KWH LITHIUM ION ENERGY STORAGE SYSTEM. SPECIFIC LOCATION: EXTERIOR WALL.</t>
  </si>
  <si>
    <t>LINE VOLTAGE ELECTRICAL WORK. NEW PERMANENT 200 AMP SERVICE DISCONNECTING MEANS WITH 40 CIRCUITS. RECEPTACLE OUTLETS: 1 . LIGHTING OUTLETS: 1. SPECIFIC LOCATION: GARAGE AND BASEMENT.</t>
  </si>
  <si>
    <t>TUCKPOINTING AND UNIT MASONRY REPAIR / REPLACEMENT: 260 SQ. FT., LINTEL QTY. 0, MAX. LENGTH 0. LOCATION: FACADE.</t>
  </si>
  <si>
    <t>LINE VOLTAGE ELECTRICAL WORK. NEW TEMPORARY 200 AMP SERVICE DISCONNECTING MEANS WITH 2 CIRCUITS. RECEPTACLE OUTLETS: 1 . LIGHTING OUTLETS: 1. SPECIFIC LOCATION: SOUTH PARKING LOT.</t>
  </si>
  <si>
    <t>LINE VOLTAGE ELECTRICAL WORK. ADD 6 CIRCUITS TO EXISTING 100 AMP SERVICE DISCONNECTING MEANS. RECEPTACLE OUTLETS: 0 . LIGHTING OUTLETS: 9. SPECIFIC LOCATION: PARKING LOTS.</t>
  </si>
  <si>
    <t>LOW VOLTAGE/COMMUNICATION ELECTRICAL WORK. INSTALL DATA/VIDEO. SPECIFIC LOCATION: 2ND AND 4TH FLOOR.</t>
  </si>
  <si>
    <t>REPAIR OR IN-KIND REPLACEMENT OF 0 PLUMBING FIXTURES AS DESCRIBED IN PERMIT APPLICATION.  INCLUDES REPAIR OR REPLACMENT OF PLUMBING PIPING.  LOCATIONS: 1 RESIDENTIAL UNIT(S), 0 NON-RESIDENTIAL UNIT(S), BASEMENT.</t>
  </si>
  <si>
    <t>LOW VOLTAGE/COMMUNICATION ELECTRICAL WORK. INSTALL OTHER. SPECIFIC LOCATION: ELEVATOR LOBBY + 3 ADDITIONAL FLOORS.</t>
  </si>
  <si>
    <t>IN-KIND REPLACEMENT OF EXTERIOR WINDOWS AND DOORS IN EXISTING OPENINGS. REPLACEMENT WINDOWS: 1; REPLACEMENT SKYLIGHTS: 0; REPLACEMENT DOORS: 0. AFFECTS: 0 RESIDENTIAL UNIT(S), 1 NON-RESIDENTIAL UNIT(S), LOCATION: GROUND FLOOR CHASE BANK.</t>
  </si>
  <si>
    <t>PURPOSE: NEW/REPLACEMENT INSTALLATION. VINYL/PVC FENCE - 6'-0' ' (HEIGHT) X 47'-0' ' (LENGTH). LOCATION: WESTERN SIDE OF THE PROPERTY..</t>
  </si>
  <si>
    <t>CONCRETE MASONRY REPAIR / REPLACEMNT: 200SQ. FT., EXCAVATION = NO. LOCATION: PARKING GARAGE.</t>
  </si>
  <si>
    <t>LOW VOLTAGE/COMMUNICATION ELECTRICAL WORK. INSTALL AUDIO. INSTALL DATA/VIDEO. SPECIFIC LOCATION: BASEMENT, 1ST FLOOR, 2ND FLOOR, ROOF DECK.</t>
  </si>
  <si>
    <t>TUCKPOINTING AND UNIT MASONRY REPAIR / REPLACEMENT: 400 SQ. FT., LINTEL QTY. 0, MAX. LENGTH 0. LOCATION: MASONRY, TUCK-POINTING, SEALER ON NORTH WALL.</t>
  </si>
  <si>
    <t>TUCKPOINTING AND UNIT MASONRY REPAIR / REPLACEMENT: 500 SQ. FT., LINTEL QTY. 0, MAX. LENGTH 0. LOCATION: EXTERIOR, GRADE WALLS.</t>
  </si>
  <si>
    <t>LOW VOLTAGE/COMMUNICATION ELECTRICAL WORK. INSTALL SECURITY. SPECIFIC LOCATION: 11TH FLR.</t>
  </si>
  <si>
    <t>REPAIR OR IN-KIND REPLACEMENT OF 15 PLUMBING FIXTURES AS DESCRIBED IN PERMIT APPLICATION.  REPAIR OR IN-KIND REPLACEMENT OF HOT WATER HEATER(S).  INCLUDES REPAIR OR REPLACMENT OF PLUMBING PIPING.  INCLUDES REPAIR OR REPLACEMENT OF PLUMBING RISERS IN EXISTING CHASES.  LOCATIONS: 2 RESIDENTIAL UNIT(S), 0 NON-RESIDENTIAL UNIT(S), BASEMENT, 1ST FLOOR AND 2ND FLOOR.</t>
  </si>
  <si>
    <t>INSTALL SOLAR PANELS ON ROOF OF PRINCIPAL BUILDING. ROOF TYPE: STEEP (&gt;5:12). INVERTER OUTPUT: 9.12 KW. ARRAY OUTPUT: 10.8 KW.   INCLUDES 10 KWH ENERGY STORAGE SYSTEM.  LOCATION: ROOF TOP AND SIDE WALL OF BUILDING. ICC DISTRIBUTED GENERATION INSTALLER CERT. #94-1965. | SPECIAL CONDITION: * NEC REFERENCES TO BE OMITTED FROM DRAWINGS, ALL GENERAL ELECTRICAL NOTES SHALL REFERENCE CEC 2018. * ALL EQUIPMENT, CONNECTORS, RACEWAYS, TAPS,  MUST BE LISTED AND LABELED FOR USE.</t>
  </si>
  <si>
    <t>SCOPE: ROOF REPLACEMENT. AREA: 30657 SQ. FT. ROOF COVERING: METAL ROOF SHINGLES. LOCATION: REROOF. IL ROOFING CONTRACTOR LICENSE: 104018326.</t>
  </si>
  <si>
    <t>REPAIR OR IN-KIND REPLACEMENT OF 5 PLUMBING FIXTURES AS DESCRIBED IN PERMIT APPLICATION.  LOCATIONS: 1 RESIDENTIAL UNIT(S), 0 NON-RESIDENTIAL UNIT(S), KITCHEN.</t>
  </si>
  <si>
    <t>SCOPE: ROOF REPLACEMENT. AREA: 2633 SQ. FT. ROOF COVERING: ASPHALT SHINGLES. LOCATION: REROOF. IL ROOFING CONTRACTOR LICENSE: 104019663.</t>
  </si>
  <si>
    <t>TUCKPOINTING AND UNIT MASONRY REPAIR / REPLACEMENT: 250 SQ. FT., LINTEL QTY. 0, MAX. LENGTH 0. LOCATION: EXTERIOR BRICK FACADE.</t>
  </si>
  <si>
    <t>LINE VOLTAGE ELECTRICAL WORK. ADD 24 CIRCUITS TO EXISTING 100 AMP SERVICE DISCONNECTING MEANS. RECEPTACLE OUTLETS: 32 . LIGHTING OUTLETS: 0. SPECIFIC LOCATION: APARTMENT KITCHENS AND BATHROOMS.</t>
  </si>
  <si>
    <t>INSTALL SOLAR PANELS ON ROOF OF PRINCIPAL BUILDING. ROOF TYPE: LOW-SLOPED (&lt;2:12). INVERTER OUTPUT: 4.93 KW. ARRAY OUTPUT: 7.225 KW.  LOCATION: EXISTING ROOF OF PRINCIPAL STRUCTURE. ICC DISTRIBUTED GENERATION INSTALLER CERT. #23-0387. | SPECIAL CONDITION: * PLEASE APPLY FOR ELECTRICAL PERMIT PRIOR TO SOLAR INSPECTION AND HAVE PRESENT ON DATE OF INSPECTION OR RISK FAILURE AS PROPOSED WORK PER ELECTRICAL DRAWING.* PLEASE PROVIDE NOTARIZED LETTER FROM OWNER &amp; BUILDING MANAGEMENT WITH APPROVAL OF SOLAR INSTALLATION OF PROPOSED WORK ON BUILDING STRUCTURE AT THE TIME OF SOLAR INSPECTION OR RISK FAILURE AS PROPOSED WORK PER ELECTRICAL DRAWING.* ALL EQUIPMENT, CONNECTORS, RACEWAYS,  BE LISTED AND LABELED FOR USE.</t>
  </si>
  <si>
    <t>SCOPE: ROOF REPLACEMENT. AREA: 2700 SQ. FT. ROOF COVERING: ASPHALT SHINGLES. LOCATION: REROOF. IL ROOFING CONTRACTOR LICENSE: 104019663.</t>
  </si>
  <si>
    <t>LINE VOLTAGE ELECTRICAL WORK. REPAIR OR ALTER DEVICES ON EXISTING CIRCUITS. RECEPTACLE OUTLETS: 4 . LIGHTING OUTLETS: 6. SPECIFIC LOCATION: KITCHEN AREA.</t>
  </si>
  <si>
    <t>INSTALL SOLAR PANELS ON ROOF OF PRINCIPAL BUILDING. ROOF TYPE: LOW-SLOPED (&lt;2:12). INVERTER OUTPUT: 5.51 KW. ARRAY OUTPUT: 8.075 KW.  LOCATION: EXISTING ROOF OF PRINCIPAL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BE LISTED AND LABELED FOR USE.</t>
  </si>
  <si>
    <t>PURPOSE: NEW/REPLACEMENT INSTALLATION. WOOD FENCE - 6'-0' ' (HEIGHT) X 130'-0' ' (LENGTH). LOCATION: FENCE ON EAST SIDE OF THE HOUSE.</t>
  </si>
  <si>
    <t>LINE VOLTAGE ELECTRICAL WORK. REPAIR OR ALTER DEVICES ON EXISTING CIRCUITS. RECEPTACLE OUTLETS: 18 . LIGHTING OUTLETS: 16. SPECIFIC LOCATION: FIRE DAMAGE REPAIRS.</t>
  </si>
  <si>
    <t>LINE VOLTAGE ELECTRICAL WORK. REPAIR OR ALTER DEVICES ON EXISTING CIRCUITS. RECEPTACLE OUTLETS: 1 . LIGHTING OUTLETS: 0. SPECIFIC LOCATION: BASEMENT.</t>
  </si>
  <si>
    <t>IN-KIND REPLACEMENT OF EXTERIOR WINDOWS AND DOORS IN EXISTING OPENINGS. REPLACEMENT WINDOWS: 8; REPLACEMENT SKYLIGHTS: 0; REPLACEMENT DOORS: 0. AFFECTS: 1 RESIDENTIAL UNIT(S), 0 NON-RESIDENTIAL UNIT(S), LOCATION: FRONT FACADE AND BACK FACADE.</t>
  </si>
  <si>
    <t>SCOPE: NONSTRUCTURAL INTERIOR WORK: REPLACE DRYWALL. LOCATIONS: 1 RESIDENTIAL UNIT(S), 0 NON-RESIDENTIAL UNIT(S), 1ST, 2ND FLOOR AND BASEMENT. | SPECIAL CONDITION: NO ELECTRICAL WORK, NO PLUMBING WORK, NO MECHANICAL WORK UNDER THIS PERMIT</t>
  </si>
  <si>
    <t>LOW VOLTAGE/COMMUNICATION ELECTRICAL WORK. INSTALL DATA/VIDEO. SPECIFIC LOCATION: 5TH FLOOR.</t>
  </si>
  <si>
    <t>IN-KIND REPLACEMENT OF EXTERIOR WINDOWS AND DOORS IN EXISTING OPENINGS. REPLACEMENT WINDOWS: 12; REPLACEMENT SKYLIGHTS: 0; REPLACEMENT DOORS: 2. AFFECTS: 1 RESIDENTIAL UNIT(S), 0 NON-RESIDENTIAL UNIT(S), LOCATION: FRONT AND REAR FAÇADE.</t>
  </si>
  <si>
    <t>LINE VOLTAGE ELECTRICAL WORK. NEW PERMANENT 100 AMP SERVICE DISCONNECTING MEANS WITH 10 CIRCUITS. RECEPTACLE OUTLETS: 10 . LIGHTING OUTLETS: 10. SPECIFIC LOCATION: ELECTRICAL SERVICE.</t>
  </si>
  <si>
    <t>PURPOSE: NEW/REPLACEMENT INSTALLATION. WOOD FENCE - 6'-0' ' (HEIGHT) X 40'-0' ' (LENGTH). LOCATION: NORTH, REAR SIDE OF THE PROPERTY.</t>
  </si>
  <si>
    <t>LINE VOLTAGE ELECTRICAL WORK. NEW PERMANENT 125 AMP SERVICE DISCONNECTING MEANS WITH 1 CIRCUITS. RECEPTACLE OUTLETS: 1 . LIGHTING OUTLETS: 0. 13.5 KWH LITHIUM ION ENERGY STORAGE SYSTEM. SPECIFIC LOCATION: EXTERIOR WALL, METER.</t>
  </si>
  <si>
    <t>LOW VOLTAGE/COMMUNICATION ELECTRICAL WORK. INSTALL DATA/VIDEO. SPECIFIC LOCATION: 1ST FLOOR CORRIDOR, BASEMENT.</t>
  </si>
  <si>
    <t>LINE VOLTAGE ELECTRICAL WORK. NEW PERMANENT 125 AMP SERVICE DISCONNECTING MEANS WITH 1 CIRCUITS. RECEPTACLE OUTLETS: 1 . LIGHTING OUTLETS: 0. 13.5 KWH LITHIUM ION ENERGY STORAGE SYSTEM. SPECIFIC LOCATION: EXTERIOR WALL, SERVICE CONDUCTORS.</t>
  </si>
  <si>
    <t>LINE VOLTAGE ELECTRICAL WORK. ADD 1 CIRCUITS TO EXISTING 100 AMP SERVICE DISCONNECTING MEANS. RECEPTACLE OUTLETS: 1 . LIGHTING OUTLETS: 0. ELECTRIC VEHICLE SUPPLY EQUIPMENT:1 SPACES. SPECIFIC LOCATION: GARAGE.</t>
  </si>
  <si>
    <t>SCOPE: NONSTRUCTURAL INTERIOR REMODEL OF TWO EXISTING BATHROOMS. REPLACE DRYWALL. REPLACE 6 PLUMBING FIXTURES. REPLACE 5 ELECTRICAL FIXTURES AND 7 OUTLETS/SWITCHES. REMOVE AND CAP SHOWER. REPLACE TUB WITH STANDING SHOWER..LOCATIONS: 1 RESIDENTIAL UNIT(S), 0 NON-RESIDENTIAL UNIT(S), UNIT #813 BATHROOMS.</t>
  </si>
  <si>
    <t>REPAIR OR IN-KIND REPLACEMENT OF 1 PLUMBING FIXTURES AS DESCRIBED IN PERMIT APPLICATION.  REPAIR OR IN-KIND REPLACEMENT OF HOT WATER HEATER(S).  INCLUDES REPAIR OR REPLACMENT OF PLUMBING PIPING.  LOCATIONS: 0 RESIDENTIAL UNIT(S), 1 NON-RESIDENTIAL UNIT(S), INSIDE THE STORE.</t>
  </si>
  <si>
    <t>INSTALL SOLAR PANELS ON ROOF OF PRINCIPAL BUILDING. ROOF TYPE: STEEP (&gt;5:12). INVERTER OUTPUT: 5.22 KW. ARRAY OUTPUT: 0.13122 KW.  LOCATION: ROOF TOP OF PRINCIPLE STRUCTURE. ICC DISTRIBUTED GENERATION INSTALLER CERT. #23-0387. | SPECIAL CONDITION: * NEC REFERENCES TO BE OMITTED FROM DRAWINGS, ALL GENERAL ELECTRICAL NOTES SHALL REFERENCE CEC 2018. * ALL EQUIPMENT, CONNECTORS, RACEWAYS, BE LISTED AND LABELED FOR USE.</t>
  </si>
  <si>
    <t>LINE VOLTAGE ELECTRICAL WORK. NEW PERMANENT 200 AMP SERVICE DISCONNECTING MEANS WITH 5 CIRCUITS. RECEPTACLE OUTLETS: 5 . LIGHTING OUTLETS: 0. SPECIFIC LOCATION: BASEMENT.</t>
  </si>
  <si>
    <t>TUCKPOINTING AND UNIT MASONRY REPAIR / REPLACEMENT: 3000 SQ. FT., LINTEL QTY. 6, MAX. LENGTH 5. LOCATION: FRONT WALL FACET, BACK WALL AND SIDES WALLS.</t>
  </si>
  <si>
    <t>LINE VOLTAGE ELECTRICAL WORK. NEW PERMANENT 100 AMP SERVICE DISCONNECTING MEANS WITH 1 CIRCUITS. RECEPTACLE OUTLETS: 1 . LIGHTING OUTLETS: 0. SPECIFIC LOCATION: ROOF TOP OF PRINCIPLE STRUCTURE.</t>
  </si>
  <si>
    <t>LINE VOLTAGE ELECTRICAL WORK. REPAIR OR ALTER DEVICES ON EXISTING CIRCUITS. RECEPTACLE OUTLETS: 1 . LIGHTING OUTLETS: 0. ELECTRIC VEHICLE SUPPLY EQUIPMENT:1 SPACES. SPECIFIC LOCATION: BUILDING GARAGE.</t>
  </si>
  <si>
    <t>LINE VOLTAGE ELECTRICAL WORK. NEW PERMANENT 200 AMP SERVICE DISCONNECTING MEANS WITH 5 CIRCUITS. RECEPTACLE OUTLETS: 5 . LIGHTING OUTLETS: 0. SPECIFIC LOCATION: BASMENT.</t>
  </si>
  <si>
    <t>INSTALL SOLAR PANELS ON ROOF OF ACCESSORY BUILDING. ROOF TYPE: SLOPED (2:12 TO 5:12). INVERTER OUTPUT: 10 KW. ARRAY OUTPUT: 8.61 KW.   INCLUDES 13.5 KWH ENERGY STORAGE SYSTEM.  LOCATION: ROOF PLANES OF DETACHED GARAGE. ICC DISTRIBUTED GENERATION INSTALLER CERT. #18-0817. | SPECIAL CONDITION: * NEC REFERENCES TO BE OMITTED FROM DRAWINGS, ALL GENERAL ELECTRICAL NOTES SHALL REFERENCE CEC 2018. * REFER TO SOLAR (PRINCIPAL) PERMIT B200435191 AND ELECTRICAL PERMIT B200435195.* UNDERGROUND RACEWAY TO BE INSPECTED BY AHJ PRIOR TO COVERING. * ALL EQUIPMENT, CONNECTORS, RACEWAYS, TAPS, MUST BE LISTED AND LABELED FOR USE.</t>
  </si>
  <si>
    <t>LINE VOLTAGE ELECTRICAL WORK. REPAIR OR ALTER DEVICES ON EXISTING CIRCUITS. RECEPTACLE OUTLETS: 4 . LIGHTING OUTLETS: 0. SPECIFIC LOCATION: INSIDE WORK.</t>
  </si>
  <si>
    <t>LOW VOLTAGE/COMMUNICATION ELECTRICAL WORK. INSTALL DATA/VIDEO. SPECIFIC LOCATION: LOW VOLTAGE WORK SUITE 1000.</t>
  </si>
  <si>
    <t>NEW DETACHED WOOD FRAME GARAGE. DIMENSIONS AND SETBACKS PER APPLICATION. BUILDING OUTSIDE DIMENSIONS: 22'-0' ' X20'-0' '. HIP ROOF HEIGHT TO PEAK: 13'-0' '.</t>
  </si>
  <si>
    <t>INSTALL SOLAR PANELS ON ROOF OF ACCESSORY BUILDING. ROOF TYPE: LOW-SLOPED (&lt;2:12). INVERTER OUTPUT: 7.6 KW. ARRAY OUTPUT: 3.24 KW.  LOCATION: GARAGE. ICC DISTRIBUTED GENERATION INSTALLER CERT. #23-0309. | SPECIAL CONDITION: * NEC REFERENCES TO BE OMITTED FROM DRAWINGS, ALL GENERAL ELECTRICAL NOTES SHALL REFERENCE CEC 2018. * UNDERGROUND RACEWAY TO BE INSPECTED BY AHJ PRIOR TO COVERING. * ALL EQUIPMENT, CONNECTORS, RACEWAYS, TAPS, MUST BE LISTED AND LABELED FOR USE.</t>
  </si>
  <si>
    <t>LOW VOLTAGE/COMMUNICATION ELECTRICAL WORK. ALTER EXISTING OTHER. SPECIFIC LOCATION: SUITE 3750.</t>
  </si>
  <si>
    <t>TUCKPOINTING AND UNIT MASONRY REPAIR / REPLACEMENT: 2000 SQ. FT., LINTEL QTY. 0, MAX. LENGTH 0. LOCATION: MASONRY REPAIR WORK. TUCKPOITING AND BRICK..</t>
  </si>
  <si>
    <t>LOW VOLTAGE/COMMUNICATION ELECTRICAL WORK. ALTER EXISTING OTHER. SPECIFIC LOCATION: BASEMENT, ROOF &amp; CLASSROOMS.</t>
  </si>
  <si>
    <t>NEW DETACHED WOOD FRAME GARAGE. DIMENSIONS AND SETBACKS PER APPLICATION. BUILDING OUTSIDE DIMENSIONS: 22'-0' ' X22'-0' '. GABLE ROOF HEIGHT TO PEAK: 13'-0' '.</t>
  </si>
  <si>
    <t>INSTALL SOLAR PANELS ON ROOF OF PRINCIPAL BUILDING. ROOF TYPE: SLOPED (2:12 TO 5:12). INVERTER OUTPUT: 12.48 KW. ARRAY OUTPUT: 16.575 KW.  LOCATION: ROOFING. ICC DISTRIBUTED GENERATION INSTALLER CERT. #25-0056. | SPECIAL CONDITION: * NEC REFERENCES TO BE OMITTED FROM DRAWINGS, ALL GENERAL ELECTRICAL NOTES SHALL REFERENCE CEC 2018. * REFER TO SOLAR (ACCESSORY) PERMIT B200437187.*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</si>
  <si>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HOME. ICC DISTRIBUTED GENERATION INSTALLER CERT. #18-0817. | SPECIAL CONDITION: * NEC REFERENCES TO BE OMITTED FROM DRAWINGS, ALL GENERAL ELECTRICAL NOTES SHALL REFERENCE CEC 2018. * REFER TO SOLAR (ACCESSORY) PERMIT B200436825 AND ELECTRICAL PERMIT B200436837.*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</si>
  <si>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B200436821 AND ELECTRICAL PERMIT B200436837.* UNDERGROUND RACEWAY TO BE INSPECTED BY AHJ PRIOR TO COVERING. * ALL EQUIPMENT, CONNECTORS, RACEWAYS, TAPS, MUST BE LISTED AND LABELED FOR USE.</t>
  </si>
  <si>
    <t>IN-KIND REPLACEMENT OF EXTERIOR WINDOWS AND DOORS IN EXISTING OPENINGS. REPLACEMENT WINDOWS: 1; REPLACEMENT SKYLIGHTS: 0; REPLACEMENT DOORS: 0. AFFECTS: 0 RESIDENTIAL UNIT(S), 1 NON-RESIDENTIAL UNIT(S), LOCATION: GROUND FLOOR DAMAGED WINDOW -LIKE FOR LIKE REPLACE.</t>
  </si>
  <si>
    <t>LINE VOLTAGE ELECTRICAL WORK. NEW PERMANENT 200 AMP SERVICE DISCONNECTING MEANS WITH 1 CIRCUITS. RECEPTACLE OUTLETS: 1 . LIGHTING OUTLETS: 0. 13.5 KWH LITHIUM ION ENERGY STORAGE SYSTEM. SPECIFIC LOCATION: EXTERIOR WALL, TRENCHING.</t>
  </si>
  <si>
    <t>PURPOSE: NEW/REPLACEMENT INSTALLATION. WOOD FENCE - 6'-0' ' (HEIGHT) X 94'-0' ' (LENGTH). LOCATION: NORTH PART OF PROPERTY.</t>
  </si>
  <si>
    <t>PURPOSE: LEGALIZE UNPERMITTED WORK. WROUGHT IRON FENCE - 5'-11' ' (HEIGHT) X 75'-0' ' (LENGTH). LOCATION: FRONT AND SIDE OF PROPERTY.</t>
  </si>
  <si>
    <t>SCOPE: NONSTRUCTURAL INTERIOR ALTERATION TO BASEMENT TO ADD LAUDRY SINK WITH ASSOCIATED PLUMBNG AND INSTALLATION OF NEW FULL BATHROOM WITH DOUBLE SINK AT AT SECOND FLOOR, NEW FLOORS AND DOORS. LOCATIONS: 1 RESIDENTIAL UNIT(S), 0 NON-RESIDENTIAL UNIT(S), BASEMENT, FIRST AND SECOND FLOOR. | SPECIAL CONDITION: NO EXTERIOR WORK OR WINDOW REPLACEMENT.</t>
  </si>
  <si>
    <t>PURPOSE: NEW/REPLACEMENT INSTALLATION. WOOD FENCE - 6'-0' ' (HEIGHT) X 79'-0' ' (LENGTH). LOCATION: REAR SIDE OF THE PROPERTY.</t>
  </si>
  <si>
    <t>TUCKPOINTING AND UNIT MASONRY REPAIR / REPLACEMENT: 500 SQ. FT., LINTEL QTY. 0, MAX. LENGTH 0. PARAPET REBUILDING: 450 SQ. FT. LOCATION: NEAR ROOF.</t>
  </si>
  <si>
    <t>CONCRETE MASONRY REPAIR / REPLACEMNT: 90SQ. FT., EXCAVATION = NO. LOCATION: GARAGE LOWER LEVEL.</t>
  </si>
  <si>
    <t>LOW VOLTAGE/COMMUNICATION ELECTRICAL WORK. INSTALL SECURITY. SPECIFIC LOCATION: FIRST AND SECOND FLRS.</t>
  </si>
  <si>
    <t>INSTALL SOLAR PANELS ON ROOF OF PRINCIPAL BUILDING. ROOF TYPE: SLOPED (2:12 TO 5:12). INVERTER OUTPUT: 0.32 KW. ARRAY OUTPUT: 0.00924 KW.  LOCATION: ROOFTOP. ICC DISTRIBUTED GENERATION INSTALLER CERT. #24-0198. | SPECIAL CONDITION: * NEC REFERENCES TO BE OMITTED FROM DRAWINGS, ALL GENERAL ELECTRICAL NOTES SHALL REFERENCE CEC 2018. * ALL EQUIPMENT, CONNECTORS, RACEWAYS, TAPS, MUST BE LISTED AND LABELED FOR USE.</t>
  </si>
  <si>
    <t>SCOPE: ROOF REPLACEMENT. AREA: 5000 SQ. FT. ROOF COVERING: OTHER. LOCATION: ROOFING. IL ROOFING CONTRACTOR LICENSE: 104018398.</t>
  </si>
  <si>
    <t>TUCKPOINTING AND UNIT MASONRY REPAIR / REPLACEMENT: 2000 SQ. FT., LINTEL QTY. 0, MAX. LENGTH 0. PARAPET REBUILDING: 500 SQ. FT. LOCATION: REPER EXISTING EXTERIOR MASONRY WALL AS NEEDED.</t>
  </si>
  <si>
    <t>INSTALL SOLAR PANELS ON ROOF OF PRINCIPAL BUILDING. ROOF TYPE: SLOPED (2:12 TO 5:12). INVERTER OUTPUT: 11.5 KW. ARRAY OUTPUT: 14.76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</si>
  <si>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</si>
  <si>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10 KW. ARRAY OUTPUT: 13.12 KW.   INCLUDES 13.5 KWH ENERGY STORAGE SYSTEM.  LOCATION: ROOF PLANES OF HOME.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</si>
  <si>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LOW VOLTAGE/COMMUNICATION ELECTRICAL WORK. INSTALL DATA/VIDEO. SPECIFIC LOCATION: FRONT COUNTER AND FRONT DOOR AREA.</t>
  </si>
  <si>
    <t>INSTALL SOLAR PANELS ON ROOF OF PRINCIPAL BUILDING. ROOF TYPE: SLOPED (2:12 TO 5:12). INVERTER OUTPUT: 10 KW. ARRAY OUTPUT: 9.02 KW.   INCLUDES 13.5 KWH ENERGY STORAGE SYSTEM.  LOCATION: ROOF PLANES OF HOME. ICC DISTRIBUTED GENERATION INSTALLER CERT. #18-0817. | SPECIAL CONDITION: * NEC REFERENCES TO BE OMITTED FROM DRAWINGS, ALL GENERAL ELECTRICAL NOTES SHALL REFERENCE CEC 2018. * REFER TO ELECTRICAL PERMIT B200436900.* ALL EQUIPMENT, CONNECTORS, RACEWAYS, TAPS, MUST BE LISTED AND LABELED FOR USE.</t>
  </si>
  <si>
    <t>LINE VOLTAGE ELECTRICAL WORK. NEW PERMANENT 200 AMP SERVICE DISCONNECTING MEANS WITH 20 CIRCUITS. RECEPTACLE OUTLETS: 1 . LIGHTING OUTLETS: 1. SPECIFIC LOCATION: REAR HOUSE AND BASEMENT.</t>
  </si>
  <si>
    <t>PURPOSE: NEW/REPLACEMENT INSTALLATION. WOOD FENCE - 6'-0' ' (HEIGHT) X 74'-0' ' (LENGTH). LOCATION: OUTSIDE FENCE.</t>
  </si>
  <si>
    <t>LINE VOLTAGE ELECTRICAL WORK. NEW PERMANENT 600 AMP SERVICE DISCONNECTING MEANS WITH 1 CIRCUITS. RECEPTACLE OUTLETS: 1 . LIGHTING OUTLETS: 0. SPECIFIC LOCATION: BASEMENT, ELECTRICAL ROOM.</t>
  </si>
  <si>
    <t>LIMITED REPAIR (25% OR LESS) FOR WOOD EXTERIOR STAIRWAY (QUANTITY: 1, LOCATION: FRONT OF BUILDING). ACCESSORY BUILDING.</t>
  </si>
  <si>
    <t>LINE VOLTAGE ELECTRICAL WORK. INSTALL TEMPORARY 45 KW DIESEL GENERATOR. INSTALL TEMPORARY 45 KW DIESEL GENERATOR. INSTALL TEMPORARY 45 KW DIESEL GENERATOR. INSTALL TEMPORARY 45 KW DIESEL GENERATOR. RECEPTACLE OUTLETS: 0 . LIGHTING OUTLETS: 0. SPECIFIC LOCATION: STREET EVENT.</t>
  </si>
  <si>
    <t>FULL REBUILD (SAME AS EXISTING) FOR WOOD PORCH (OPEN) (QUANTITY: 1, LOCATION: FRONT OF BUILDING).  LANDING: 92 SQUARE FEET.  LANDING NOT MORE THAN 6 FEET ABOVE GROUND.</t>
  </si>
  <si>
    <t>PURPOSE: NEW/REPLACEMENT INSTALLATION. WOOD FENCE - 6'-0' ' (HEIGHT) X 98'-0' ' (LENGTH). LOCATION: RIGHT AND LEFT SIDE OF PROPERTY.</t>
  </si>
  <si>
    <t>FULL REBUILD (SAME AS EXISTING) FOR WOOD PORCH (OPEN) (QUANTITY: 1, LOCATION: FRONT OF BUILDING).  LANDING: 122 SQUARE FEET.  LANDING NOT MORE THAN 6 FEET ABOVE GROUND.</t>
  </si>
  <si>
    <t>LOW VOLTAGE/COMMUNICATION ELECTRICAL WORK. INSTALL DATA/VIDEO. SPECIFIC LOCATION: ARROW INTERNATIONAL SUITE 620.</t>
  </si>
  <si>
    <t>PURPOSE: LEGALIZE UNPERMITTED WORK. WROUGHT IRON FENCE - 6'-0' ' (HEIGHT) X 5'-6' ' (LENGTH). LOCATION: BACK &amp; FRONT GATE.</t>
  </si>
  <si>
    <t>LINE VOLTAGE ELECTRICAL WORK. NEW PERMANENT 200 AMP SERVICE DISCONNECTING MEANS WITH 12 CIRCUITS. RECEPTACLE OUTLETS: 1 . LIGHTING OUTLETS: 0. SPECIFIC LOCATION: SERVICE UPGRADE.</t>
  </si>
  <si>
    <t>TUCKPOINTING AND UNIT MASONRY REPAIR / REPLACEMENT: 750 SQ. FT., LINTEL QTY. 0, MAX. LENGTH 0. LOCATION: FRONT AND REAR FACADES. | SPECIAL CONDITION: ANY REMOVED MASONRY TO BE SALVAGED AND REINSTALLED WHEN POSSIBLE.  ANY NEW MASONRY TO MATCH HISTORIC IN SIZE, COLOR, TEXTURE/FINISH, AND GENERAL APPEARANCE.  NEW MORTAR TO MATCH HISTORIC IN COLOR, TEXTURE, STRENGTH/TYPE, AND PROFILE.  ALL WORK AND DETAILING TO MATCH EXISTING.</t>
  </si>
  <si>
    <t>TUCKPOINTING AND UNIT MASONRY REPAIR / REPLACEMENT: 200 SQ. FT., LINTEL QTY. 1, MAX. LENGTH 6. LOCATION: NORTH/WEST FACE BRICKS WALLS/COPING TILES.</t>
  </si>
  <si>
    <t>LOW VOLTAGE/COMMUNICATION ELECTRICAL WORK. INSTALL SECURITY. SPECIFIC LOCATION: LOBBY EMPLOYEE ENTRANCE ALLEY ENTRANCE SECLUSION.</t>
  </si>
  <si>
    <t>LINE VOLTAGE ELECTRICAL WORK. REPAIR OR ALTER DEVICES ON EXISTING CIRCUITS. RECEPTACLE OUTLETS: 1 . LIGHTING OUTLETS: 0. SPECIFIC LOCATION: UNION PARK.</t>
  </si>
  <si>
    <t>LINE VOLTAGE ELECTRICAL WORK. ADD 1 CIRCUITS TO EXISTING 200 AMP SERVICE DISCONNECTING MEANS. RECEPTACLE OUTLETS: 1 . LIGHTING OUTLETS: 0. ELECTRIC VEHICLE SUPPLY EQUIPMENT:1 SPACES. SPECIFIC LOCATION: GARAGE.</t>
  </si>
  <si>
    <t>TUCKPOINTING AND UNIT MASONRY REPAIR / REPLACEMENT: 1500 SQ. FT., LINTEL QTY. 4, MAX. LENGTH 5. LOCATION: SOUTH ELEVATION.</t>
  </si>
  <si>
    <t>LINE VOLTAGE ELECTRICAL WORK. NEW PERMANENT 100 AMP SERVICE DISCONNECTING MEANS WITH 32 CIRCUITS. RECEPTACLE OUTLETS: 5 . LIGHTING OUTLETS: 5. SPECIFIC LOCATION: UNIT 301.</t>
  </si>
  <si>
    <t>TUCKPOINTING AND UNIT MASONRY REPAIR / REPLACEMENT: 600 SQ. FT., LINTEL QTY. 0, MAX. LENGTH 0. LOCATION: WEST ELEVATION.</t>
  </si>
  <si>
    <t>CONCRETE MASONRY REPAIR / REPLACEMNT: 350SQ. FT., EXCAVATION = NO. LOCATION: WEST ELEVATION.</t>
  </si>
  <si>
    <t>NEW DETACHED WOOD FRAME GARAGE. DIMENSIONS AND SETBACKS PER APPLICATION. BUILDING OUTSIDE DIMENSIONS: 20'-0' ' X18'-0' '. GABLE ROOF HEIGHT TO PEAK: 14'-0' '.</t>
  </si>
  <si>
    <t>LINE VOLTAGE ELECTRICAL WORK. REPAIR OR ALTER DEVICES ON EXISTING CIRCUITS. RECEPTACLE OUTLETS: 1 . LIGHTING OUTLETS: 0. SPECIFIC LOCATION: OAK STREET BEACH.</t>
  </si>
  <si>
    <t>TUCKPOINTING AND UNIT MASONRY REPAIR / REPLACEMENT: 1100 SQ. FT., LINTEL QTY. 0, MAX. LENGTH 0. LOCATION: MASONRY BRICK REPAIRS ON ALL ELEVATIONS.</t>
  </si>
  <si>
    <t>NEW DETACHED WOOD FRAME GARAGE. DIMENSIONS AND SETBACKS PER APPLICATION. BUILDING OUTSIDE DIMENSIONS: 25'-0' ' X24'-0' '. GABLE ROOF HEIGHT TO PEAK: 14'-6' '.</t>
  </si>
  <si>
    <t>LOW VOLTAGE/COMMUNICATION ELECTRICAL WORK. INSTALL SECURITY. SPECIFIC LOCATION: 1ST FLOOR CORNER.</t>
  </si>
  <si>
    <t>SCOPE: ROOF REPLACEMENT. AREA: 10500 SQ. FT. ROOF COVERING: OTHER. LOCATION: ROOFING. IL ROOFING CONTRACTOR LICENSE: 104017674.</t>
  </si>
  <si>
    <t>NEW DETACHED WOOD FRAME GARAGE. DIMENSIONS AND SETBACKS PER APPLICATION. BUILDING OUTSIDE DIMENSIONS: 20'-0' ' X19'-0' '. GABLE ROOF HEIGHT TO PEAK: 11'-5' '. | SPECIAL CONDITION: NEW GARAGE PER DRAWINGS</t>
  </si>
  <si>
    <t>SCOPE: ROOF RECOVER. AREA: 5000 SQ. FT. ROOF COVERING: BUILT-UP ROOF. LOCATION: ROOFING. IL ROOFING CONTRACTOR LICENSE: 104018740.</t>
  </si>
  <si>
    <t>CONCRETE MASONRY REPAIR / REPLACEMNT: 1250SQ. FT., EXCAVATION = NO. LOCATION: GARAGE.</t>
  </si>
  <si>
    <t>NEW DETACHED WOOD FRAME GARAGE. DIMENSIONS AND SETBACKS PER APPLICATION. BUILDING OUTSIDE DIMENSIONS: 24'-0' ' X19'-0' '. HIP ROOF HEIGHT TO PEAK: 13'-0' '.</t>
  </si>
  <si>
    <t>INSTALL SOLAR PANELS ON ROOF OF PRINCIPAL BUILDING. ROOF TYPE: SLOPED (2:12 TO 5:12). INVERTER OUTPUT: 4.48 KW. ARRAY OUTPUT: 5.67 KW.  LOCATION: ROOF OF HOME. ICC DISTRIBUTED GENERATION INSTALLER CERT. #18-0495.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</si>
  <si>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LINE VOLTAGE ELECTRICAL WORK. ADD 2 CIRCUITS TO EXISTING 200 AMP SERVICE DISCONNECTING MEANS. RECEPTACLE OUTLETS: 2 . LIGHTING OUTLETS: 0. SPECIFIC LOCATION: BATHROOM 1ST FLOOR.</t>
  </si>
  <si>
    <t>INSTALL SOLAR PANELS ON ROOF OF PRINCIPAL BUILDING. ROOF TYPE: LOW-SLOPED (&lt;2:12). INVERTER OUTPUT: 4.64 KW. ARRAY OUTPUT: 6.8 KW.  LOCATION: EXISTING ROOF OF PRINCIPAL STRUCTURE. ICC DISTRIBUTED GENERATION INSTALLER CERT. #23-0387. | SPECIAL CONDITION: * NEC REFERENCES TO BE OMITTED FROM DRAWINGS, ALL GENERAL ELECTRICAL NOTES SHALL REFERENCE CEC 2018. * PLEASE PROVIDE NOTARIZED LETTER FROM OWNER &amp; BUILDING MANAGEMENT WITH APPROVAL OF SOLAR INSTALLATION OF PROPOSED WORK ON BUILDING STRUCTURE AT THE TIME OF SOLAR INSPECTION OR RISK FAILURE AS PROPOSED WORK PER ELECTRICAL DRAWING.* ALL EQUIPMENT, CONNECTORS, RACEWAYS, TAPS, MUST BE LISTED AND LABELED FOR USE.</t>
  </si>
  <si>
    <t>PURPOSE: LEGALIZE UNPERMITTED WORK. WROUGHT IRON FENCE - 6'-8' ' (HEIGHT) X 125'-0' ' (LENGTH). LOCATION: EXTERIOR FENCE.</t>
  </si>
  <si>
    <t>INSTALL SOLAR PANELS ON ROOF OF PRINCIPAL BUILDING. ROOF TYPE: STEEP (&gt;5:12). INVERTER OUTPUT: 6.08 KW. ARRAY OUTPUT: 7.2 KW.  LOCATION: ROOF OF HOME. ICC DISTRIBUTED GENERATION INSTALLER CERT. #18-0495. | SPECIAL CONDITION: * NEC REFERENCES TO BE OMITTED FROM DRAWINGS, ALL GENERAL ELECTRICAL NOTES SHALL REFERENCE CEC 2018. * REFER TO ELECTRICAL PERMIT B200437016.* ALL EQUIPMENT, CONNECTORS, RACEWAYS, TAPS, MUST BE LISTED AND LABELED FOR USE.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</si>
  <si>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</si>
  <si>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COOLING EQUIPMENT(BACKYARD, MITSUBISHI SUZ-AK36NLHZ)  1 OTHER AIR HANDLING EQUIPMENT(BASEMENT, MITSUBISHI SVZ-AP36NL) . ELECTRICAL WORK UNDER THIS PERMIT = NO . LOCATIONS: 1 RESIDENTIAL UNIT(S), 0 NON-RESIDENTIAL UNIT(S), EXTERIOR WORK,  BASEMENT AND BACKYARD.</t>
  </si>
  <si>
    <t>LINE VOLTAGE ELECTRICAL WORK. NEW PERMANENT 400 AMP SERVICE DISCONNECTING MEANS WITH 84 CIRCUITS. RECEPTACLE OUTLETS: 1 . LIGHTING OUTLETS: 1. SPECIFIC LOCATION: BASEMENT &amp; OUTSIDE AT UTILITY METER.</t>
  </si>
  <si>
    <t>SCOPE: NONSTRUCTURAL INTERIOR ALTERATION TO REPLACE KITCHEN COUNTERTOPS, PLUMBING FIXTURES, AND LIGHTING. REMODEL TWO BATHROOMS, TILE, AND LIGHT FIXTURES, ADD CEILING J-BOXES IN BEDROOMS, CHANGE TUB TO SHOWER. LOCATIONS: 1 RESIDENTIAL UNIT(S), 0 NON-RESIDENTIAL UNIT(S), UNIT 1907.</t>
  </si>
  <si>
    <t>LINE VOLTAGE ELECTRICAL WORK. NEW PERMANENT 200 AMP SERVICE DISCONNECTING MEANS WITH 6 CIRCUITS. RECEPTACLE OUTLETS: 5 . LIGHTING OUTLETS: 0. SPECIFIC LOCATION: BASEMENT AND BACKYARD.</t>
  </si>
  <si>
    <t>TUCKPOINTING AND UNIT MASONRY REPAIR / REPLACEMENT: 200 SQ. FT., LINTEL QTY. 0, MAX. LENGTH 0. LOCATION: EXTERIOR REPLACE DAMAGE BRICK FRONT OF HOUSE.</t>
  </si>
  <si>
    <t>SCOPE: ROOF REPLACEMENT. AREA: 1919 SQ. FT. ROOF COVERING: ASPHALT SHINGLES. LOCATION: HOUSE AND GARAGE. IL ROOFING CONTRACTOR LICENSE: 104.01899.</t>
  </si>
  <si>
    <t>SCOPE: ROOF REPLACEMENT. AREA: 10000 SQ. FT. ROOF COVERING: MINERAL - SURFACED ROLL ROOFING. LOCATION: ROOFTOP. IL ROOFING CONTRACTOR LICENSE: 104000394.</t>
  </si>
  <si>
    <t>NO PIN FOUND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</si>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</sst>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206</v>
      </c>
      <c r="D2" t="s">
        <v>406</v>
      </c>
      <c r="I2">
        <v>200</v>
      </c>
      <c r="K2" t="s">
        <v>431</v>
      </c>
      <c r="L2">
        <f>HYPERLINK("https://maps.cookcountyil.gov/cookviewer/?search=6731 S ST LAWRENCE AVE", "6731 S ST LAWRENCE AVE")</f>
        <v>0</v>
      </c>
      <c r="N2" t="s">
        <v>614</v>
      </c>
      <c r="P2" t="s">
        <v>615</v>
      </c>
      <c r="Q2" t="s">
        <v>794</v>
      </c>
      <c r="U2" t="s">
        <v>984</v>
      </c>
      <c r="V2" t="s">
        <v>985</v>
      </c>
    </row>
    <row r="3" spans="1:23">
      <c r="A3">
        <v>2</v>
      </c>
      <c r="B3" t="s">
        <v>24</v>
      </c>
      <c r="C3" t="s">
        <v>207</v>
      </c>
      <c r="D3" t="s">
        <v>407</v>
      </c>
      <c r="I3">
        <v>3602</v>
      </c>
      <c r="K3" t="s">
        <v>432</v>
      </c>
      <c r="L3">
        <f>HYPERLINK("https://maps.cookcountyil.gov/cookviewer/?search=8358 S KARLOV AVE", "8358 S KARLOV AVE")</f>
        <v>0</v>
      </c>
      <c r="N3" t="s">
        <v>614</v>
      </c>
      <c r="P3" t="s">
        <v>616</v>
      </c>
      <c r="Q3" t="s">
        <v>795</v>
      </c>
      <c r="U3">
        <f>HYPERLINK("https://www.cookcountyassessoril.gov/pin/19344050180000", "19-34-405-018-0000")</f>
        <v>0</v>
      </c>
      <c r="V3" t="s">
        <v>985</v>
      </c>
    </row>
    <row r="4" spans="1:23">
      <c r="A4">
        <v>3</v>
      </c>
      <c r="B4" t="s">
        <v>25</v>
      </c>
      <c r="C4" t="s">
        <v>208</v>
      </c>
      <c r="D4" t="s">
        <v>408</v>
      </c>
      <c r="I4">
        <v>16172</v>
      </c>
      <c r="K4" t="s">
        <v>433</v>
      </c>
      <c r="L4">
        <f>HYPERLINK("https://maps.cookcountyil.gov/cookviewer/?search=2219 W BERWYN AVE", "2219 W BERWYN AVE")</f>
        <v>0</v>
      </c>
      <c r="N4" t="s">
        <v>614</v>
      </c>
      <c r="P4" t="s">
        <v>617</v>
      </c>
      <c r="Q4" t="s">
        <v>796</v>
      </c>
      <c r="U4">
        <f>HYPERLINK("https://www.cookcountyassessoril.gov/pin/14071130170000", "14-07-113-017-0000")</f>
        <v>0</v>
      </c>
      <c r="V4" t="s">
        <v>985</v>
      </c>
    </row>
    <row r="5" spans="1:23">
      <c r="A5">
        <v>4</v>
      </c>
      <c r="B5" t="s">
        <v>26</v>
      </c>
      <c r="C5" t="s">
        <v>209</v>
      </c>
      <c r="D5" t="s">
        <v>407</v>
      </c>
      <c r="I5">
        <v>5219</v>
      </c>
      <c r="K5" t="s">
        <v>434</v>
      </c>
      <c r="L5">
        <f>HYPERLINK("https://maps.cookcountyil.gov/cookviewer/?search=2522 W EASTWOOD AVE", "2522 W EASTWOOD AVE")</f>
        <v>0</v>
      </c>
      <c r="N5" t="s">
        <v>614</v>
      </c>
      <c r="P5" t="s">
        <v>618</v>
      </c>
      <c r="Q5" t="s">
        <v>797</v>
      </c>
      <c r="U5">
        <f>HYPERLINK("https://www.cookcountyassessoril.gov/pin/13132100290000", "13-13-210-029-0000")</f>
        <v>0</v>
      </c>
      <c r="V5" t="s">
        <v>985</v>
      </c>
    </row>
    <row r="6" spans="1:23">
      <c r="A6">
        <v>5</v>
      </c>
      <c r="B6" t="s">
        <v>27</v>
      </c>
      <c r="C6" t="s">
        <v>210</v>
      </c>
      <c r="D6" t="s">
        <v>409</v>
      </c>
      <c r="I6">
        <v>15000</v>
      </c>
      <c r="K6" t="s">
        <v>435</v>
      </c>
      <c r="L6">
        <f>HYPERLINK("https://maps.cookcountyil.gov/cookviewer/?search=2431 W TAYLOR ST", "2431 W TAYLOR ST")</f>
        <v>0</v>
      </c>
      <c r="N6" t="s">
        <v>614</v>
      </c>
      <c r="P6" t="s">
        <v>619</v>
      </c>
      <c r="Q6" t="s">
        <v>798</v>
      </c>
      <c r="U6" t="s">
        <v>984</v>
      </c>
      <c r="V6" t="s">
        <v>985</v>
      </c>
    </row>
    <row r="7" spans="1:23">
      <c r="A7">
        <v>6</v>
      </c>
      <c r="B7" t="s">
        <v>28</v>
      </c>
      <c r="C7" t="s">
        <v>211</v>
      </c>
      <c r="D7" t="s">
        <v>410</v>
      </c>
      <c r="I7">
        <v>135000</v>
      </c>
      <c r="K7" t="s">
        <v>436</v>
      </c>
      <c r="L7">
        <f>HYPERLINK("https://maps.cookcountyil.gov/cookviewer/?search=4026 N MOZART ST", "4026 N MOZART ST")</f>
        <v>0</v>
      </c>
      <c r="N7" t="s">
        <v>614</v>
      </c>
      <c r="P7" t="s">
        <v>620</v>
      </c>
      <c r="Q7" t="s">
        <v>799</v>
      </c>
      <c r="U7" t="s">
        <v>984</v>
      </c>
      <c r="V7" t="s">
        <v>985</v>
      </c>
    </row>
    <row r="8" spans="1:23">
      <c r="A8">
        <v>7</v>
      </c>
      <c r="B8" t="s">
        <v>29</v>
      </c>
      <c r="C8" t="s">
        <v>212</v>
      </c>
      <c r="D8" t="s">
        <v>411</v>
      </c>
      <c r="I8">
        <v>6000</v>
      </c>
      <c r="K8" t="s">
        <v>437</v>
      </c>
      <c r="L8">
        <f>HYPERLINK("https://maps.cookcountyil.gov/cookviewer/?search=4315 N DAYTON ST", "4315 N DAYTON ST")</f>
        <v>0</v>
      </c>
      <c r="N8" t="s">
        <v>614</v>
      </c>
      <c r="P8" t="s">
        <v>621</v>
      </c>
      <c r="Q8" t="s">
        <v>800</v>
      </c>
      <c r="U8" t="s">
        <v>984</v>
      </c>
      <c r="V8" t="s">
        <v>985</v>
      </c>
    </row>
    <row r="9" spans="1:23">
      <c r="A9">
        <v>8</v>
      </c>
      <c r="B9" t="s">
        <v>30</v>
      </c>
      <c r="C9" t="s">
        <v>213</v>
      </c>
      <c r="D9" t="s">
        <v>412</v>
      </c>
      <c r="I9">
        <v>1000</v>
      </c>
      <c r="K9" t="s">
        <v>438</v>
      </c>
      <c r="L9">
        <f>HYPERLINK("https://maps.cookcountyil.gov/cookviewer/?search=2136 S MILLARD AVE", "2136 S MILLARD AVE")</f>
        <v>0</v>
      </c>
      <c r="N9" t="s">
        <v>614</v>
      </c>
      <c r="P9" t="s">
        <v>622</v>
      </c>
      <c r="Q9" t="s">
        <v>801</v>
      </c>
      <c r="U9">
        <f>HYPERLINK("https://www.cookcountyassessoril.gov/pin/16233260220000", "16-23-326-022-0000")</f>
        <v>0</v>
      </c>
      <c r="V9" t="s">
        <v>985</v>
      </c>
    </row>
    <row r="10" spans="1:23">
      <c r="A10">
        <v>9</v>
      </c>
      <c r="B10" t="s">
        <v>31</v>
      </c>
      <c r="C10" t="s">
        <v>214</v>
      </c>
      <c r="D10" t="s">
        <v>406</v>
      </c>
      <c r="I10">
        <v>185500</v>
      </c>
      <c r="K10" t="s">
        <v>439</v>
      </c>
      <c r="L10">
        <f>HYPERLINK("https://maps.cookcountyil.gov/cookviewer/?search=155 N WACKER DR", "155 N WACKER DR")</f>
        <v>0</v>
      </c>
      <c r="N10" t="s">
        <v>614</v>
      </c>
      <c r="P10" t="s">
        <v>623</v>
      </c>
      <c r="Q10" t="s">
        <v>802</v>
      </c>
      <c r="U10">
        <f>HYPERLINK("https://www.cookcountyassessoril.gov/pin/17094290180000", "17-09-429-018-0000"), =HYPERLINK("https://www.cookcountyassessoril.gov/pin/17094290190000", "17-09-429-019-0000")</f>
        <v>0</v>
      </c>
      <c r="V10" t="s">
        <v>985</v>
      </c>
    </row>
    <row r="11" spans="1:23">
      <c r="A11">
        <v>10</v>
      </c>
      <c r="B11" t="s">
        <v>27</v>
      </c>
      <c r="C11" t="s">
        <v>215</v>
      </c>
      <c r="D11" t="s">
        <v>409</v>
      </c>
      <c r="I11">
        <v>15000</v>
      </c>
      <c r="K11" t="s">
        <v>435</v>
      </c>
      <c r="L11">
        <f>HYPERLINK("https://maps.cookcountyil.gov/cookviewer/?search=2431 W TAYLOR ST", "2431 W TAYLOR ST")</f>
        <v>0</v>
      </c>
      <c r="N11" t="s">
        <v>614</v>
      </c>
      <c r="P11" t="s">
        <v>619</v>
      </c>
      <c r="Q11" t="s">
        <v>803</v>
      </c>
      <c r="U11" t="s">
        <v>984</v>
      </c>
      <c r="V11" t="s">
        <v>985</v>
      </c>
    </row>
    <row r="12" spans="1:23">
      <c r="A12">
        <v>11</v>
      </c>
      <c r="B12" t="s">
        <v>32</v>
      </c>
      <c r="C12" t="s">
        <v>216</v>
      </c>
      <c r="D12" t="s">
        <v>411</v>
      </c>
      <c r="I12">
        <v>3000</v>
      </c>
      <c r="K12" t="s">
        <v>440</v>
      </c>
      <c r="L12">
        <f>HYPERLINK("https://maps.cookcountyil.gov/cookviewer/?search=73 E 100TH ST", "73 E 100TH ST")</f>
        <v>0</v>
      </c>
      <c r="N12" t="s">
        <v>614</v>
      </c>
      <c r="P12" t="s">
        <v>624</v>
      </c>
      <c r="Q12" t="s">
        <v>804</v>
      </c>
      <c r="U12">
        <f>HYPERLINK("https://www.cookcountyassessoril.gov/pin/25103080330000", "25-10-308-033-0000")</f>
        <v>0</v>
      </c>
      <c r="V12" t="s">
        <v>985</v>
      </c>
    </row>
    <row r="13" spans="1:23">
      <c r="A13">
        <v>12</v>
      </c>
      <c r="B13" t="s">
        <v>33</v>
      </c>
      <c r="C13" t="s">
        <v>217</v>
      </c>
      <c r="D13" t="s">
        <v>407</v>
      </c>
      <c r="I13">
        <v>3320</v>
      </c>
      <c r="K13" t="s">
        <v>441</v>
      </c>
      <c r="L13">
        <f>HYPERLINK("https://maps.cookcountyil.gov/cookviewer/?search=9908 S WENTWORTH AVE", "9908 S WENTWORTH AVE")</f>
        <v>0</v>
      </c>
      <c r="N13" t="s">
        <v>614</v>
      </c>
      <c r="P13" t="s">
        <v>625</v>
      </c>
      <c r="Q13" t="s">
        <v>805</v>
      </c>
      <c r="U13">
        <f>HYPERLINK("https://www.cookcountyassessoril.gov/pin/25094030430000", "25-09-403-043-0000")</f>
        <v>0</v>
      </c>
      <c r="V13" t="s">
        <v>985</v>
      </c>
    </row>
    <row r="14" spans="1:23">
      <c r="A14">
        <v>13</v>
      </c>
      <c r="B14" t="s">
        <v>34</v>
      </c>
      <c r="C14" t="s">
        <v>218</v>
      </c>
      <c r="D14" t="s">
        <v>406</v>
      </c>
      <c r="I14">
        <v>21000</v>
      </c>
      <c r="K14" t="s">
        <v>442</v>
      </c>
      <c r="L14">
        <f>HYPERLINK("https://maps.cookcountyil.gov/cookviewer/?search=5624 W EASTWOOD AVE", "5624 W EASTWOOD AVE")</f>
        <v>0</v>
      </c>
      <c r="N14" t="s">
        <v>614</v>
      </c>
      <c r="P14" t="s">
        <v>626</v>
      </c>
      <c r="Q14" t="s">
        <v>806</v>
      </c>
      <c r="U14">
        <f>HYPERLINK("https://www.cookcountyassessoril.gov/pin/13172120220000", "13-17-212-022-0000")</f>
        <v>0</v>
      </c>
      <c r="V14" t="s">
        <v>986</v>
      </c>
    </row>
    <row r="15" spans="1:23">
      <c r="A15">
        <v>14</v>
      </c>
      <c r="B15" t="s">
        <v>35</v>
      </c>
      <c r="C15" t="s">
        <v>219</v>
      </c>
      <c r="D15" t="s">
        <v>413</v>
      </c>
      <c r="I15">
        <v>1000</v>
      </c>
      <c r="K15" t="s">
        <v>443</v>
      </c>
      <c r="L15">
        <f>HYPERLINK("https://maps.cookcountyil.gov/cookviewer/?search=5555 S MERRIMAC AVE", "5555 S MERRIMAC AVE")</f>
        <v>0</v>
      </c>
      <c r="N15" t="s">
        <v>614</v>
      </c>
      <c r="P15" t="s">
        <v>627</v>
      </c>
      <c r="Q15" t="s">
        <v>807</v>
      </c>
      <c r="U15">
        <f>HYPERLINK("https://www.cookcountyassessoril.gov/pin/19171030530000", "19-17-103-053-0000")</f>
        <v>0</v>
      </c>
      <c r="V15" t="s">
        <v>985</v>
      </c>
    </row>
    <row r="16" spans="1:23">
      <c r="A16">
        <v>15</v>
      </c>
      <c r="B16" t="s">
        <v>36</v>
      </c>
      <c r="C16" t="s">
        <v>220</v>
      </c>
      <c r="D16" t="s">
        <v>406</v>
      </c>
      <c r="I16">
        <v>27477</v>
      </c>
      <c r="K16" t="s">
        <v>444</v>
      </c>
      <c r="L16">
        <f>HYPERLINK("https://maps.cookcountyil.gov/cookviewer/?search=27 W 126TH PL", "27 W 126TH PL")</f>
        <v>0</v>
      </c>
      <c r="N16" t="s">
        <v>614</v>
      </c>
      <c r="P16" t="s">
        <v>628</v>
      </c>
      <c r="Q16" t="s">
        <v>808</v>
      </c>
      <c r="U16">
        <f>HYPERLINK("https://www.cookcountyassessoril.gov/pin/25284420090000", "25-28-442-009-0000")</f>
        <v>0</v>
      </c>
      <c r="V16" t="s">
        <v>986</v>
      </c>
    </row>
    <row r="17" spans="1:22">
      <c r="A17">
        <v>16</v>
      </c>
      <c r="B17" t="s">
        <v>37</v>
      </c>
      <c r="C17" t="s">
        <v>221</v>
      </c>
      <c r="D17" t="s">
        <v>411</v>
      </c>
      <c r="I17">
        <v>20000</v>
      </c>
      <c r="K17" t="s">
        <v>445</v>
      </c>
      <c r="L17">
        <f>HYPERLINK("https://maps.cookcountyil.gov/cookviewer/?search=235 N ARTESIAN AVE", "235 N ARTESIAN AVE")</f>
        <v>0</v>
      </c>
      <c r="N17" t="s">
        <v>614</v>
      </c>
      <c r="P17" t="s">
        <v>629</v>
      </c>
      <c r="Q17" t="s">
        <v>809</v>
      </c>
      <c r="U17">
        <f>HYPERLINK("https://www.cookcountyassessoril.gov/pin/16124140730000", "16-12-414-073-0000"), =HYPERLINK("https://www.cookcountyassessoril.gov/pin/16124140850000", "16-12-414-085-0000")</f>
        <v>0</v>
      </c>
      <c r="V17" t="s">
        <v>985</v>
      </c>
    </row>
    <row r="18" spans="1:22">
      <c r="A18">
        <v>17</v>
      </c>
      <c r="B18" t="s">
        <v>38</v>
      </c>
      <c r="C18" t="s">
        <v>222</v>
      </c>
      <c r="D18" t="s">
        <v>414</v>
      </c>
      <c r="I18">
        <v>7000</v>
      </c>
      <c r="K18" t="s">
        <v>446</v>
      </c>
      <c r="L18">
        <f>HYPERLINK("https://maps.cookcountyil.gov/cookviewer/?search=7648 S PEORIA ST", "7648 S PEORIA ST")</f>
        <v>0</v>
      </c>
      <c r="N18" t="s">
        <v>614</v>
      </c>
      <c r="P18" t="s">
        <v>630</v>
      </c>
      <c r="Q18" t="s">
        <v>810</v>
      </c>
      <c r="U18">
        <f>HYPERLINK("https://www.cookcountyassessoril.gov/pin/20294130320000", "20-29-413-032-0000")</f>
        <v>0</v>
      </c>
      <c r="V18" t="s">
        <v>985</v>
      </c>
    </row>
    <row r="19" spans="1:22">
      <c r="A19">
        <v>18</v>
      </c>
      <c r="B19" t="s">
        <v>39</v>
      </c>
      <c r="C19" t="s">
        <v>223</v>
      </c>
      <c r="D19" t="s">
        <v>407</v>
      </c>
      <c r="I19">
        <v>8000</v>
      </c>
      <c r="K19" t="s">
        <v>447</v>
      </c>
      <c r="L19">
        <f>HYPERLINK("https://maps.cookcountyil.gov/cookviewer/?search=5324 N OAK PARK AVE", "5324 N OAK PARK AVE")</f>
        <v>0</v>
      </c>
      <c r="N19" t="s">
        <v>614</v>
      </c>
      <c r="P19" t="s">
        <v>631</v>
      </c>
      <c r="Q19" t="s">
        <v>811</v>
      </c>
      <c r="U19">
        <f>HYPERLINK("https://www.cookcountyassessoril.gov/pin/13072220320000", "13-07-222-032-0000")</f>
        <v>0</v>
      </c>
      <c r="V19" t="s">
        <v>986</v>
      </c>
    </row>
    <row r="20" spans="1:22">
      <c r="A20">
        <v>19</v>
      </c>
      <c r="B20" t="s">
        <v>40</v>
      </c>
      <c r="C20" t="s">
        <v>224</v>
      </c>
      <c r="D20" t="s">
        <v>407</v>
      </c>
      <c r="I20">
        <v>10000</v>
      </c>
      <c r="K20" t="s">
        <v>448</v>
      </c>
      <c r="L20">
        <f>HYPERLINK("https://maps.cookcountyil.gov/cookviewer/?search=400 S STATE ST", "400 S STATE ST")</f>
        <v>0</v>
      </c>
      <c r="N20" t="s">
        <v>614</v>
      </c>
      <c r="P20" t="s">
        <v>632</v>
      </c>
      <c r="Q20" t="s">
        <v>812</v>
      </c>
      <c r="U20">
        <f>HYPERLINK("https://www.cookcountyassessoril.gov/pin/17162470620000", "17-16-247-062-0000"), =HYPERLINK("https://www.cookcountyassessoril.gov/pin/17162470600000", "17-16-247-060-0000")</f>
        <v>0</v>
      </c>
      <c r="V20" t="s">
        <v>985</v>
      </c>
    </row>
    <row r="21" spans="1:22">
      <c r="A21">
        <v>20</v>
      </c>
      <c r="B21" t="s">
        <v>41</v>
      </c>
      <c r="C21" t="s">
        <v>225</v>
      </c>
      <c r="D21" t="s">
        <v>415</v>
      </c>
      <c r="I21">
        <v>5000</v>
      </c>
      <c r="K21" t="s">
        <v>449</v>
      </c>
      <c r="L21">
        <f>HYPERLINK("https://maps.cookcountyil.gov/cookviewer/?search=2421 W FLOURNOY ST", "2421 W FLOURNOY ST")</f>
        <v>0</v>
      </c>
      <c r="N21" t="s">
        <v>614</v>
      </c>
      <c r="P21" t="s">
        <v>619</v>
      </c>
      <c r="Q21" t="s">
        <v>813</v>
      </c>
      <c r="U21">
        <f>HYPERLINK("https://www.cookcountyassessoril.gov/pin/16134070210000", "16-13-407-021-0000")</f>
        <v>0</v>
      </c>
      <c r="V21" t="s">
        <v>985</v>
      </c>
    </row>
    <row r="22" spans="1:22">
      <c r="A22">
        <v>21</v>
      </c>
      <c r="B22" t="s">
        <v>41</v>
      </c>
      <c r="C22" t="s">
        <v>226</v>
      </c>
      <c r="D22" t="s">
        <v>415</v>
      </c>
      <c r="I22">
        <v>3000</v>
      </c>
      <c r="K22" t="s">
        <v>449</v>
      </c>
      <c r="L22">
        <f>HYPERLINK("https://maps.cookcountyil.gov/cookviewer/?search=2421 W FLOURNOY ST", "2421 W FLOURNOY ST")</f>
        <v>0</v>
      </c>
      <c r="N22" t="s">
        <v>614</v>
      </c>
      <c r="P22" t="s">
        <v>619</v>
      </c>
      <c r="Q22" t="s">
        <v>814</v>
      </c>
      <c r="U22">
        <f>HYPERLINK("https://www.cookcountyassessoril.gov/pin/16134070210000", "16-13-407-021-0000")</f>
        <v>0</v>
      </c>
      <c r="V22" t="s">
        <v>985</v>
      </c>
    </row>
    <row r="23" spans="1:22">
      <c r="A23">
        <v>22</v>
      </c>
      <c r="B23" t="s">
        <v>41</v>
      </c>
      <c r="C23" t="s">
        <v>227</v>
      </c>
      <c r="D23" t="s">
        <v>415</v>
      </c>
      <c r="I23">
        <v>5000</v>
      </c>
      <c r="K23" t="s">
        <v>449</v>
      </c>
      <c r="L23">
        <f>HYPERLINK("https://maps.cookcountyil.gov/cookviewer/?search=2421 W FLOURNOY ST", "2421 W FLOURNOY ST")</f>
        <v>0</v>
      </c>
      <c r="N23" t="s">
        <v>614</v>
      </c>
      <c r="P23" t="s">
        <v>619</v>
      </c>
      <c r="Q23" t="s">
        <v>815</v>
      </c>
      <c r="U23">
        <f>HYPERLINK("https://www.cookcountyassessoril.gov/pin/16134070210000", "16-13-407-021-0000")</f>
        <v>0</v>
      </c>
      <c r="V23" t="s">
        <v>985</v>
      </c>
    </row>
    <row r="24" spans="1:22">
      <c r="A24">
        <v>23</v>
      </c>
      <c r="B24" t="s">
        <v>42</v>
      </c>
      <c r="C24" t="s">
        <v>228</v>
      </c>
      <c r="D24" t="s">
        <v>407</v>
      </c>
      <c r="I24">
        <v>14000</v>
      </c>
      <c r="K24" t="s">
        <v>450</v>
      </c>
      <c r="L24">
        <f>HYPERLINK("https://maps.cookcountyil.gov/cookviewer/?search=4040 W MONTROSE AVE", "4040 W MONTROSE AVE")</f>
        <v>0</v>
      </c>
      <c r="N24" t="s">
        <v>614</v>
      </c>
      <c r="P24" t="s">
        <v>633</v>
      </c>
      <c r="Q24" t="s">
        <v>816</v>
      </c>
      <c r="U24" t="s">
        <v>984</v>
      </c>
      <c r="V24" t="s">
        <v>986</v>
      </c>
    </row>
    <row r="25" spans="1:22">
      <c r="A25">
        <v>24</v>
      </c>
      <c r="B25" t="s">
        <v>43</v>
      </c>
      <c r="C25" t="s">
        <v>229</v>
      </c>
      <c r="D25" t="s">
        <v>411</v>
      </c>
      <c r="I25">
        <v>14348</v>
      </c>
      <c r="K25" t="s">
        <v>451</v>
      </c>
      <c r="L25">
        <f>HYPERLINK("https://maps.cookcountyil.gov/cookviewer/?search=8008 S MOZART ST", "8008 S MOZART ST")</f>
        <v>0</v>
      </c>
      <c r="N25" t="s">
        <v>614</v>
      </c>
      <c r="P25" t="s">
        <v>634</v>
      </c>
      <c r="Q25" t="s">
        <v>817</v>
      </c>
      <c r="U25">
        <f>HYPERLINK("https://www.cookcountyassessoril.gov/pin/19361140220000", "19-36-114-022-0000")</f>
        <v>0</v>
      </c>
      <c r="V25" t="s">
        <v>986</v>
      </c>
    </row>
    <row r="26" spans="1:22">
      <c r="A26">
        <v>25</v>
      </c>
      <c r="B26" t="s">
        <v>44</v>
      </c>
      <c r="C26" t="s">
        <v>230</v>
      </c>
      <c r="D26" t="s">
        <v>407</v>
      </c>
      <c r="I26">
        <v>8729</v>
      </c>
      <c r="K26" t="s">
        <v>452</v>
      </c>
      <c r="L26">
        <f>HYPERLINK("https://maps.cookcountyil.gov/cookviewer/?search=2418 W BERENICE AVE", "2418 W BERENICE AVE")</f>
        <v>0</v>
      </c>
      <c r="N26" t="s">
        <v>614</v>
      </c>
      <c r="P26" t="s">
        <v>635</v>
      </c>
      <c r="Q26" t="s">
        <v>818</v>
      </c>
      <c r="U26">
        <f>HYPERLINK("https://www.cookcountyassessoril.gov/pin/13242040270000", "13-24-204-027-0000")</f>
        <v>0</v>
      </c>
      <c r="V26" t="s">
        <v>986</v>
      </c>
    </row>
    <row r="27" spans="1:22">
      <c r="A27">
        <v>26</v>
      </c>
      <c r="B27" t="s">
        <v>43</v>
      </c>
      <c r="C27" t="s">
        <v>231</v>
      </c>
      <c r="D27" t="s">
        <v>406</v>
      </c>
      <c r="I27">
        <v>5000</v>
      </c>
      <c r="K27" t="s">
        <v>451</v>
      </c>
      <c r="L27">
        <f>HYPERLINK("https://maps.cookcountyil.gov/cookviewer/?search=8008 S MOZART ST", "8008 S MOZART ST")</f>
        <v>0</v>
      </c>
      <c r="N27" t="s">
        <v>614</v>
      </c>
      <c r="P27" t="s">
        <v>634</v>
      </c>
      <c r="Q27" t="s">
        <v>819</v>
      </c>
      <c r="U27">
        <f>HYPERLINK("https://www.cookcountyassessoril.gov/pin/19361140220000", "19-36-114-022-0000")</f>
        <v>0</v>
      </c>
      <c r="V27" t="s">
        <v>985</v>
      </c>
    </row>
    <row r="28" spans="1:22">
      <c r="A28">
        <v>27</v>
      </c>
      <c r="B28" t="s">
        <v>45</v>
      </c>
      <c r="C28" t="s">
        <v>232</v>
      </c>
      <c r="D28" t="s">
        <v>416</v>
      </c>
      <c r="I28">
        <v>2000</v>
      </c>
      <c r="K28" t="s">
        <v>453</v>
      </c>
      <c r="L28">
        <f>HYPERLINK("https://maps.cookcountyil.gov/cookviewer/?search=865 W NEWPORT AVE", "865 W NEWPORT AVE")</f>
        <v>0</v>
      </c>
      <c r="N28" t="s">
        <v>614</v>
      </c>
      <c r="P28" t="s">
        <v>636</v>
      </c>
      <c r="Q28" t="s">
        <v>820</v>
      </c>
      <c r="U28">
        <f>HYPERLINK("https://www.cookcountyassessoril.gov/pin/14204130210000", "14-20-413-021-0000")</f>
        <v>0</v>
      </c>
      <c r="V28" t="s">
        <v>985</v>
      </c>
    </row>
    <row r="29" spans="1:22">
      <c r="A29">
        <v>28</v>
      </c>
      <c r="B29" t="s">
        <v>46</v>
      </c>
      <c r="C29" t="s">
        <v>233</v>
      </c>
      <c r="D29" t="s">
        <v>406</v>
      </c>
      <c r="I29">
        <v>16359</v>
      </c>
      <c r="K29" t="s">
        <v>454</v>
      </c>
      <c r="L29">
        <f>HYPERLINK("https://maps.cookcountyil.gov/cookviewer/?search=5231 W MELROSE ST", "5231 W MELROSE ST")</f>
        <v>0</v>
      </c>
      <c r="N29" t="s">
        <v>614</v>
      </c>
      <c r="P29" t="s">
        <v>637</v>
      </c>
      <c r="Q29" t="s">
        <v>821</v>
      </c>
      <c r="U29">
        <f>HYPERLINK("https://www.cookcountyassessoril.gov/pin/13213300080000", "13-21-330-008-0000")</f>
        <v>0</v>
      </c>
      <c r="V29" t="s">
        <v>986</v>
      </c>
    </row>
    <row r="30" spans="1:22">
      <c r="A30">
        <v>29</v>
      </c>
      <c r="B30" t="s">
        <v>47</v>
      </c>
      <c r="C30" t="s">
        <v>234</v>
      </c>
      <c r="D30" t="s">
        <v>406</v>
      </c>
      <c r="I30">
        <v>17285</v>
      </c>
      <c r="K30" t="s">
        <v>455</v>
      </c>
      <c r="L30">
        <f>HYPERLINK("https://maps.cookcountyil.gov/cookviewer/?search=3337 W 71ST ST", "3337 W 71ST ST")</f>
        <v>0</v>
      </c>
      <c r="N30" t="s">
        <v>614</v>
      </c>
      <c r="P30" t="s">
        <v>638</v>
      </c>
      <c r="Q30" t="s">
        <v>822</v>
      </c>
      <c r="U30">
        <f>HYPERLINK("https://www.cookcountyassessoril.gov/pin/19262040450000", "19-26-204-045-0000")</f>
        <v>0</v>
      </c>
      <c r="V30" t="s">
        <v>986</v>
      </c>
    </row>
    <row r="31" spans="1:22">
      <c r="A31">
        <v>30</v>
      </c>
      <c r="B31" t="s">
        <v>48</v>
      </c>
      <c r="C31" t="s">
        <v>235</v>
      </c>
      <c r="D31" t="s">
        <v>410</v>
      </c>
      <c r="I31">
        <v>7000</v>
      </c>
      <c r="K31" t="s">
        <v>456</v>
      </c>
      <c r="L31">
        <f>HYPERLINK("https://maps.cookcountyil.gov/cookviewer/?search=2220 E 100TH ST", "2220 E 100TH ST")</f>
        <v>0</v>
      </c>
      <c r="N31" t="s">
        <v>614</v>
      </c>
      <c r="P31" t="s">
        <v>639</v>
      </c>
      <c r="Q31" t="s">
        <v>823</v>
      </c>
      <c r="U31">
        <f>HYPERLINK("https://www.cookcountyassessoril.gov/pin/25124030370000", "25-12-403-037-0000")</f>
        <v>0</v>
      </c>
      <c r="V31" t="s">
        <v>985</v>
      </c>
    </row>
    <row r="32" spans="1:22">
      <c r="A32">
        <v>31</v>
      </c>
      <c r="B32" t="s">
        <v>49</v>
      </c>
      <c r="C32" t="s">
        <v>236</v>
      </c>
      <c r="D32" t="s">
        <v>412</v>
      </c>
      <c r="I32">
        <v>15906</v>
      </c>
      <c r="K32" t="s">
        <v>457</v>
      </c>
      <c r="L32">
        <f>HYPERLINK("https://maps.cookcountyil.gov/cookviewer/?search=8815 S LEAVITT ST", "8815 S LEAVITT ST")</f>
        <v>0</v>
      </c>
      <c r="N32" t="s">
        <v>614</v>
      </c>
      <c r="P32" t="s">
        <v>640</v>
      </c>
      <c r="Q32" t="s">
        <v>824</v>
      </c>
      <c r="U32" t="s">
        <v>984</v>
      </c>
      <c r="V32" t="s">
        <v>986</v>
      </c>
    </row>
    <row r="33" spans="1:22">
      <c r="A33">
        <v>32</v>
      </c>
      <c r="B33" t="s">
        <v>50</v>
      </c>
      <c r="C33" t="s">
        <v>237</v>
      </c>
      <c r="D33" t="s">
        <v>417</v>
      </c>
      <c r="I33">
        <v>41370</v>
      </c>
      <c r="K33" t="s">
        <v>458</v>
      </c>
      <c r="L33">
        <f>HYPERLINK("https://maps.cookcountyil.gov/cookviewer/?search=1918 W BERWYN AVE", "1918 W BERWYN AVE")</f>
        <v>0</v>
      </c>
      <c r="N33" t="s">
        <v>614</v>
      </c>
      <c r="P33" t="s">
        <v>641</v>
      </c>
      <c r="Q33" t="s">
        <v>825</v>
      </c>
      <c r="U33">
        <f>HYPERLINK("https://www.cookcountyassessoril.gov/pin/14072160160000", "14-07-216-016-0000")</f>
        <v>0</v>
      </c>
      <c r="V33" t="s">
        <v>986</v>
      </c>
    </row>
    <row r="34" spans="1:22">
      <c r="A34">
        <v>33</v>
      </c>
      <c r="B34" t="s">
        <v>51</v>
      </c>
      <c r="C34" t="s">
        <v>238</v>
      </c>
      <c r="D34" t="s">
        <v>406</v>
      </c>
      <c r="I34">
        <v>2200</v>
      </c>
      <c r="K34" t="s">
        <v>459</v>
      </c>
      <c r="L34">
        <f>HYPERLINK("https://maps.cookcountyil.gov/cookviewer/?search=5855 N SHERIDAN RD", "5855 N SHERIDAN RD")</f>
        <v>0</v>
      </c>
      <c r="N34" t="s">
        <v>614</v>
      </c>
      <c r="P34" t="s">
        <v>642</v>
      </c>
      <c r="Q34" t="s">
        <v>826</v>
      </c>
      <c r="U34">
        <f>HYPERLINK("https://www.cookcountyassessoril.gov/pin/14054030211058", "14-05-403-021-1058"), =HYPERLINK("https://www.cookcountyassessoril.gov/pin/14054030211193", "14-05-403-021-1193"), =HYPERLINK("https://www.cookcountyassessoril.gov/pin/14054030211039", "14-05-403-021-1039"), =HYPERLINK("https://www.cookcountyassessoril.gov/pin/14054030211094", "14-05-403-021-1094"), =HYPERLINK("https://www.cookcountyassessoril.gov/pin/14054030211197", "14-05-403-021-1197"), =HYPERLINK("https://www.cookcountyassessoril.gov/pin/14054030211041", "14-05-403-021-1041"), =HYPERLINK("https://www.cookcountyassessoril.gov/pin/14054030211052", "14-05-403-021-1052"), =HYPERLINK("https://www.cookcountyassessoril.gov/pin/14054030211165", "14-05-403-021-1165"), =HYPERLINK("https://www.cookcountyassessoril.gov/pin/14054030211200", "14-05-403-021-1200"), =HYPERLINK("https://www.cookcountyassessoril.gov/pin/14054030211046", "14-05-403-021-1046"), =HYPERLINK("https://www.cookcountyassessoril.gov/pin/14054030211148", "14-05-403-021-1148"), =HYPERLINK("https://www.cookcountyassessoril.gov/pin/14054030211194", "14-05-403-021-1194"), =HYPERLINK("https://www.cookcountyassessoril.gov/pin/14054030211005", "14-05-403-021-1005"), =HYPERLINK("https://www.cookcountyassessoril.gov/pin/14054030211073", "14-05-403-021-1073"), =HYPERLINK("https://www.cookcountyassessoril.gov/pin/14054030211050", "14-05-403-021-1050"), =HYPERLINK("https://www.cookcountyassessoril.gov/pin/14054030211180", "14-05-403-021-1180"), =HYPERLINK("https://www.cookcountyassessoril.gov/pin/14054030211051", "14-05-403-021-1051"), =HYPERLINK("https://www.cookcountyassessoril.gov/pin/14054030211153", "14-05-403-021-1153"), =HYPERLINK("https://www.cookcountyassessoril.gov/pin/14054030211173", "14-05-403-021-1173"), =HYPERLINK("https://www.cookcountyassessoril.gov/pin/14054030211053", "14-05-403-021-1053"), =HYPERLINK("https://www.cookcountyassessoril.gov/pin/14054030211129", "14-05-403-021-1129"), =HYPERLINK("https://www.cookcountyassessoril.gov/pin/14054030211164", "14-05-403-021-1164"), =HYPERLINK("https://www.cookcountyassessoril.gov/pin/14054030211191", "14-05-403-021-1191"), =HYPERLINK("https://www.cookcountyassessoril.gov/pin/14054030211017", "14-05-403-021-1017"), =HYPERLINK("https://www.cookcountyassessoril.gov/pin/14054030211060", "14-05-403-021-1060"), =HYPERLINK("https://www.cookcountyassessoril.gov/pin/14054030211113", "14-05-403-021-1113"), =HYPERLINK("https://www.cookcountyassessoril.gov/pin/14054030211033", "14-05-403-021-1033"), =HYPERLINK("https://www.cookcountyassessoril.gov/pin/14054030211110", "14-05-403-021-1110"), =HYPERLINK("https://www.cookcountyassessoril.gov/pin/14054030211220", "14-05-403-021-1220"), =HYPERLINK("https://www.cookcountyassessoril.gov/pin/14054030211042", "14-05-403-021-1042"), =HYPERLINK("https://www.cookcountyassessoril.gov/pin/14054030211217", "14-05-403-021-1217"), =HYPERLINK("https://www.cookcountyassessoril.gov/pin/14054030211056", "14-05-403-021-1056"), =HYPERLINK("https://www.cookcountyassessoril.gov/pin/14054030211139", "14-05-403-021-1139"), =HYPERLINK("https://www.cookcountyassessoril.gov/pin/14054030211063", "14-05-403-021-1063"), =HYPERLINK("https://www.cookcountyassessoril.gov/pin/14054030211069", "14-05-403-021-1069"), =HYPERLINK("https://www.cookcountyassessoril.gov/pin/14054030211036", "14-05-403-021-1036"), =HYPERLINK("https://www.cookcountyassessoril.gov/pin/14054030211216", "14-05-403-021-1216"), =HYPERLINK("https://www.cookcountyassessoril.gov/pin/14054030211105", "14-05-403-021-1105"), =HYPERLINK("https://www.cookcountyassessoril.gov/pin/14054030211102", "14-05-403-021-1102"), =HYPERLINK("https://www.cookcountyassessoril.gov/pin/14054030211223", "14-05-403-021-1223"), =HYPERLINK("https://www.cookcountyassessoril.gov/pin/14054030211072", "14-05-403-021-1072"), =HYPERLINK("https://www.cookcountyassessoril.gov/pin/14054030211093", "14-05-403-021-1093"), =HYPERLINK("https://www.cookcountyassessoril.gov/pin/14054030211125", "14-05-403-021-1125"), =HYPERLINK("https://www.cookcountyassessoril.gov/pin/14054030211209", "14-05-403-021-1209"), =HYPERLINK("https://www.cookcountyassessoril.gov/pin/14054030211014", "14-05-403-021-1014"), =HYPERLINK("https://www.cookcountyassessoril.gov/pin/14054030211097", "14-05-403-021-1097"), =HYPERLINK("https://www.cookcountyassessoril.gov/pin/14054030211115", "14-05-403-021-1115"), =HYPERLINK("https://www.cookcountyassessoril.gov/pin/14054030211210", "14-05-403-021-1210"), =HYPERLINK("https://www.cookcountyassessoril.gov/pin/14054030211161", "14-05-403-021-1161"), =HYPERLINK("https://www.cookcountyassessoril.gov/pin/14054030211034", "14-05-403-021-1034"), =HYPERLINK("https://www.cookcountyassessoril.gov/pin/14054030211172", "14-05-403-021-1172"), =HYPERLINK("https://www.cookcountyassessoril.gov/pin/14054030211071", "14-05-403-021-1071"), =HYPERLINK("https://www.cookcountyassessoril.gov/pin/14054030211030", "14-05-403-021-1030"), =HYPERLINK("https://www.cookcountyassessoril.gov/pin/14054030211075", "14-05-403-021-1075"), =HYPERLINK("https://www.cookcountyassessoril.gov/pin/14054030211179", "14-05-403-021-1179"), =HYPERLINK("https://www.cookcountyassessoril.gov/pin/14054030211192", "14-05-403-021-1192"), =HYPERLINK("https://www.cookcountyassessoril.gov/pin/14054030211126", "14-05-403-021-1126"), =HYPERLINK("https://www.cookcountyassessoril.gov/pin/14054030211091", "14-05-403-021-1091"), =HYPERLINK("https://www.cookcountyassessoril.gov/pin/14054030211195", "14-05-403-021-1195"), =HYPERLINK("https://www.cookcountyassessoril.gov/pin/14054030211222", "14-05-403-021-1222"), =HYPERLINK("https://www.cookcountyassessoril.gov/pin/14054030211112", "14-05-403-021-1112"), =HYPERLINK("https://www.cookcountyassessoril.gov/pin/14054030211038", "14-05-403-021-1038"), =HYPERLINK("https://www.cookcountyassessoril.gov/pin/14054030211151", "14-05-403-021-1151"), =HYPERLINK("https://www.cookcountyassessoril.gov/pin/14054030211044", "14-05-403-021-1044"), =HYPERLINK("https://www.cookcountyassessoril.gov/pin/14054030211101", "14-05-403-021-1101"), =HYPERLINK("https://www.cookcountyassessoril.gov/pin/14054030211061", "14-05-403-021-1061"), =HYPERLINK("https://www.cookcountyassessoril.gov/pin/14054030211077", "14-05-403-021-1077"), =HYPERLINK("https://www.cookcountyassessoril.gov/pin/14054030211137", "14-05-403-021-1137"), =HYPERLINK("https://www.cookcountyassessoril.gov/pin/14054030211064", "14-05-403-021-1064"), =HYPERLINK("https://www.cookcountyassessoril.gov/pin/14054030211186", "14-05-403-021-1186"), =HYPERLINK("https://www.cookcountyassessoril.gov/pin/14054030211213", "14-05-403-021-1213"), =HYPERLINK("https://www.cookcountyassessoril.gov/pin/14054030211054", "14-05-403-021-1054"), =HYPERLINK("https://www.cookcountyassessoril.gov/pin/14054030211167", "14-05-403-021-1167"), =HYPERLINK("https://www.cookcountyassessoril.gov/pin/14054030211103", "14-05-403-021-1103"), =HYPERLINK("https://www.cookcountyassessoril.gov/pin/14054030211158", "14-05-403-021-1158"), =HYPERLINK("https://www.cookcountyassessoril.gov/pin/14054030211160", "14-05-403-021-1160"), =HYPERLINK("https://www.cookcountyassessoril.gov/pin/14054030211156", "14-05-403-021-1156"), =HYPERLINK("https://www.cookcountyassessoril.gov/pin/14054030211109", "14-05-403-021-1109"), =HYPERLINK("https://www.cookcountyassessoril.gov/pin/14054030211187", "14-05-403-021-1187"), =HYPERLINK("https://www.cookcountyassessoril.gov/pin/14054030211117", "14-05-403-021-1117"), =HYPERLINK("https://www.cookcountyassessoril.gov/pin/14054030211092", "14-05-403-021-1092"), =HYPERLINK("https://www.cookcountyassessoril.gov/pin/14054030211108", "14-05-403-021-1108"), =HYPERLINK("https://www.cookcountyassessoril.gov/pin/14054030211152", "14-05-403-021-1152"), =HYPERLINK("https://www.cookcountyassessoril.gov/pin/14054030211088", "14-05-403-021-1088"), =HYPERLINK("https://www.cookcountyassessoril.gov/pin/14054030211089", "14-05-403-021-1089"), =HYPERLINK("https://www.cookcountyassessoril.gov/pin/14054030211163", "14-05-403-021-1163"), =HYPERLINK("https://www.cookcountyassessoril.gov/pin/14054030211068", "14-05-403-021-1068"), =HYPERLINK("https://www.cookcountyassessoril.gov/pin/14054030211131", "14-05-403-021-1131"), =HYPERLINK("https://www.cookcountyassessoril.gov/pin/14054030211157", "14-05-403-021-1157"), =HYPERLINK("https://www.cookcountyassessoril.gov/pin/14054030211219", "14-05-403-021-1219"), =HYPERLINK("https://www.cookcountyassessoril.gov/pin/14054030211070", "14-05-403-021-1070"), =HYPERLINK("https://www.cookcountyassessoril.gov/pin/14054030211178", "14-05-403-021-1178"), =HYPERLINK("https://www.cookcountyassessoril.gov/pin/14054030211055", "14-05-403-021-1055"), =HYPERLINK("https://www.cookcountyassessoril.gov/pin/14054030211002", "14-05-403-021-1002"), =HYPERLINK("https://www.cookcountyassessoril.gov/pin/14054030211124", "14-05-403-021-1124"), =HYPERLINK("https://www.cookcountyassessoril.gov/pin/14054030211128", "14-05-403-021-1128"), =HYPERLINK("https://www.cookcountyassessoril.gov/pin/14054030211007", "14-05-403-021-1007"), =HYPERLINK("https://www.cookcountyassessoril.gov/pin/14054030211084", "14-05-403-021-1084"), =HYPERLINK("https://www.cookcountyassessoril.gov/pin/14054030211032", "14-05-403-021-1032"), =HYPERLINK("https://www.cookcountyassessoril.gov/pin/14054030211211", "14-05-403-021-1211"), =HYPERLINK("https://www.cookcountyassessoril.gov/pin/14054030211010", "14-05-403-021-1010"), =HYPERLINK("https://www.cookcountyassessoril.gov/pin/14054030211133", "14-05-403-021-1133"), =HYPERLINK("https://www.cookcountyassessoril.gov/pin/14054030211081", "14-05-403-021-1081"), =HYPERLINK("https://www.cookcountyassessoril.gov/pin/14054030211143", "14-05-403-021-1143")</f>
        <v>0</v>
      </c>
      <c r="V34" t="s">
        <v>985</v>
      </c>
    </row>
    <row r="35" spans="1:22">
      <c r="A35">
        <v>34</v>
      </c>
      <c r="B35" t="s">
        <v>52</v>
      </c>
      <c r="C35" t="s">
        <v>239</v>
      </c>
      <c r="D35" t="s">
        <v>406</v>
      </c>
      <c r="I35">
        <v>1980</v>
      </c>
      <c r="K35" t="s">
        <v>460</v>
      </c>
      <c r="L35">
        <f>HYPERLINK("https://maps.cookcountyil.gov/cookviewer/?search=3600 N LAKE SHORE DR", "3600 N LAKE SHORE DR")</f>
        <v>0</v>
      </c>
      <c r="N35" t="s">
        <v>614</v>
      </c>
      <c r="P35" t="s">
        <v>643</v>
      </c>
      <c r="Q35" t="s">
        <v>827</v>
      </c>
      <c r="U35">
        <f>HYPERLINK("https://www.cookcountyassessoril.gov/pin/14211100201239", "14-21-110-020-1239")</f>
        <v>0</v>
      </c>
      <c r="V35" t="s">
        <v>985</v>
      </c>
    </row>
    <row r="36" spans="1:22">
      <c r="A36">
        <v>35</v>
      </c>
      <c r="B36" t="s">
        <v>53</v>
      </c>
      <c r="C36" t="s">
        <v>240</v>
      </c>
      <c r="D36" t="s">
        <v>418</v>
      </c>
      <c r="I36">
        <v>800</v>
      </c>
      <c r="K36" t="s">
        <v>461</v>
      </c>
      <c r="L36">
        <f>HYPERLINK("https://maps.cookcountyil.gov/cookviewer/?search=4145 N SACRAMENTO AVE", "4145 N SACRAMENTO AVE")</f>
        <v>0</v>
      </c>
      <c r="N36" t="s">
        <v>614</v>
      </c>
      <c r="P36" t="s">
        <v>644</v>
      </c>
      <c r="Q36" t="s">
        <v>828</v>
      </c>
      <c r="U36" t="s">
        <v>984</v>
      </c>
      <c r="V36" t="s">
        <v>985</v>
      </c>
    </row>
    <row r="37" spans="1:22">
      <c r="A37">
        <v>36</v>
      </c>
      <c r="B37" t="s">
        <v>54</v>
      </c>
      <c r="C37" t="s">
        <v>241</v>
      </c>
      <c r="D37" t="s">
        <v>415</v>
      </c>
      <c r="I37">
        <v>9500</v>
      </c>
      <c r="K37" t="s">
        <v>462</v>
      </c>
      <c r="L37">
        <f>HYPERLINK("https://maps.cookcountyil.gov/cookviewer/?search=6517 S ABERDEEN ST", "6517 S ABERDEEN ST")</f>
        <v>0</v>
      </c>
      <c r="N37" t="s">
        <v>614</v>
      </c>
      <c r="P37" t="s">
        <v>645</v>
      </c>
      <c r="Q37" t="s">
        <v>829</v>
      </c>
      <c r="U37">
        <f>HYPERLINK("https://www.cookcountyassessoril.gov/pin/20202180080000", "20-20-218-008-0000")</f>
        <v>0</v>
      </c>
      <c r="V37" t="s">
        <v>985</v>
      </c>
    </row>
    <row r="38" spans="1:22">
      <c r="A38">
        <v>37</v>
      </c>
      <c r="B38" t="s">
        <v>55</v>
      </c>
      <c r="C38" t="s">
        <v>242</v>
      </c>
      <c r="D38" t="s">
        <v>419</v>
      </c>
      <c r="I38">
        <v>4000</v>
      </c>
      <c r="K38" t="s">
        <v>463</v>
      </c>
      <c r="L38">
        <f>HYPERLINK("https://maps.cookcountyil.gov/cookviewer/?search=4921 N MOZART ST", "4921 N MOZART ST")</f>
        <v>0</v>
      </c>
      <c r="N38" t="s">
        <v>614</v>
      </c>
      <c r="P38" t="s">
        <v>646</v>
      </c>
      <c r="Q38" t="s">
        <v>830</v>
      </c>
      <c r="U38">
        <f>HYPERLINK("https://www.cookcountyassessoril.gov/pin/13123190100000", "13-12-319-010-0000")</f>
        <v>0</v>
      </c>
      <c r="V38" t="s">
        <v>985</v>
      </c>
    </row>
    <row r="39" spans="1:22">
      <c r="A39">
        <v>38</v>
      </c>
      <c r="B39" t="s">
        <v>56</v>
      </c>
      <c r="C39" t="s">
        <v>243</v>
      </c>
      <c r="D39" t="s">
        <v>420</v>
      </c>
      <c r="I39">
        <v>3000</v>
      </c>
      <c r="K39" t="s">
        <v>464</v>
      </c>
      <c r="L39">
        <f>HYPERLINK("https://maps.cookcountyil.gov/cookviewer/?search=268 W 23RD ST", "268 W 23RD ST")</f>
        <v>0</v>
      </c>
      <c r="N39" t="s">
        <v>614</v>
      </c>
      <c r="P39" t="s">
        <v>647</v>
      </c>
      <c r="Q39" t="s">
        <v>831</v>
      </c>
      <c r="U39">
        <f>HYPERLINK("https://www.cookcountyassessoril.gov/pin/17282110540000", "17-28-211-054-0000")</f>
        <v>0</v>
      </c>
      <c r="V39" t="s">
        <v>985</v>
      </c>
    </row>
    <row r="40" spans="1:22">
      <c r="A40">
        <v>39</v>
      </c>
      <c r="B40" t="s">
        <v>57</v>
      </c>
      <c r="C40" t="s">
        <v>244</v>
      </c>
      <c r="D40" t="s">
        <v>421</v>
      </c>
      <c r="I40">
        <v>25000</v>
      </c>
      <c r="K40" t="s">
        <v>465</v>
      </c>
      <c r="L40">
        <f>HYPERLINK("https://maps.cookcountyil.gov/cookviewer/?search=3352 S MAY ST", "3352 S MAY ST")</f>
        <v>0</v>
      </c>
      <c r="N40" t="s">
        <v>614</v>
      </c>
      <c r="P40" t="s">
        <v>648</v>
      </c>
      <c r="Q40" t="s">
        <v>832</v>
      </c>
      <c r="U40">
        <f>HYPERLINK("https://www.cookcountyassessoril.gov/pin/17322160830000", "17-32-216-083-0000")</f>
        <v>0</v>
      </c>
      <c r="V40" t="s">
        <v>985</v>
      </c>
    </row>
    <row r="41" spans="1:22">
      <c r="A41">
        <v>40</v>
      </c>
      <c r="B41" t="s">
        <v>58</v>
      </c>
      <c r="C41" t="s">
        <v>245</v>
      </c>
      <c r="D41" t="s">
        <v>422</v>
      </c>
      <c r="I41">
        <v>6000</v>
      </c>
      <c r="K41" t="s">
        <v>466</v>
      </c>
      <c r="L41">
        <f>HYPERLINK("https://maps.cookcountyil.gov/cookviewer/?search=4541 S FORRESTVILLE AVE", "4541 S FORRESTVILLE AVE")</f>
        <v>0</v>
      </c>
      <c r="N41" t="s">
        <v>614</v>
      </c>
      <c r="P41" t="s">
        <v>649</v>
      </c>
      <c r="Q41" t="s">
        <v>833</v>
      </c>
      <c r="U41">
        <f>HYPERLINK("https://www.cookcountyassessoril.gov/pin/20034170170000", "20-03-417-017-0000")</f>
        <v>0</v>
      </c>
      <c r="V41" t="s">
        <v>985</v>
      </c>
    </row>
    <row r="42" spans="1:22">
      <c r="A42">
        <v>41</v>
      </c>
      <c r="B42" t="s">
        <v>59</v>
      </c>
      <c r="C42" t="s">
        <v>246</v>
      </c>
      <c r="D42" t="s">
        <v>410</v>
      </c>
      <c r="I42">
        <v>24000</v>
      </c>
      <c r="K42" t="s">
        <v>467</v>
      </c>
      <c r="L42">
        <f>HYPERLINK("https://maps.cookcountyil.gov/cookviewer/?search=10118 S HALSTED ST", "10118 S HALSTED ST")</f>
        <v>0</v>
      </c>
      <c r="N42" t="s">
        <v>614</v>
      </c>
      <c r="P42" t="s">
        <v>650</v>
      </c>
      <c r="Q42" t="s">
        <v>834</v>
      </c>
      <c r="U42">
        <f>HYPERLINK("https://www.cookcountyassessoril.gov/pin/25084230200000", "25-08-423-020-0000")</f>
        <v>0</v>
      </c>
      <c r="V42" t="s">
        <v>985</v>
      </c>
    </row>
    <row r="43" spans="1:22">
      <c r="A43">
        <v>42</v>
      </c>
      <c r="B43" t="s">
        <v>60</v>
      </c>
      <c r="C43" t="s">
        <v>247</v>
      </c>
      <c r="D43" t="s">
        <v>407</v>
      </c>
      <c r="I43">
        <v>800</v>
      </c>
      <c r="K43" t="s">
        <v>468</v>
      </c>
      <c r="L43">
        <f>HYPERLINK("https://maps.cookcountyil.gov/cookviewer/?search=910 N KEYSTONE AVE", "910 N KEYSTONE AVE")</f>
        <v>0</v>
      </c>
      <c r="N43" t="s">
        <v>614</v>
      </c>
      <c r="P43" t="s">
        <v>651</v>
      </c>
      <c r="Q43" t="s">
        <v>835</v>
      </c>
      <c r="U43">
        <f>HYPERLINK("https://www.cookcountyassessoril.gov/pin/16034220370000", "16-03-422-037-0000")</f>
        <v>0</v>
      </c>
      <c r="V43" t="s">
        <v>985</v>
      </c>
    </row>
    <row r="44" spans="1:22">
      <c r="A44">
        <v>43</v>
      </c>
      <c r="B44" t="s">
        <v>61</v>
      </c>
      <c r="C44" t="s">
        <v>248</v>
      </c>
      <c r="D44" t="s">
        <v>423</v>
      </c>
      <c r="I44">
        <v>4810</v>
      </c>
      <c r="K44" t="s">
        <v>469</v>
      </c>
      <c r="L44">
        <f>HYPERLINK("https://maps.cookcountyil.gov/cookviewer/?search=1435 W WINNEMAC AVE", "1435 W WINNEMAC AVE")</f>
        <v>0</v>
      </c>
      <c r="N44" t="s">
        <v>614</v>
      </c>
      <c r="P44" t="s">
        <v>652</v>
      </c>
      <c r="Q44" t="s">
        <v>836</v>
      </c>
      <c r="U44">
        <f>HYPERLINK("https://www.cookcountyassessoril.gov/pin/14083100110000", "14-08-310-011-0000")</f>
        <v>0</v>
      </c>
      <c r="V44" t="s">
        <v>985</v>
      </c>
    </row>
    <row r="45" spans="1:22">
      <c r="A45">
        <v>44</v>
      </c>
      <c r="B45" t="s">
        <v>62</v>
      </c>
      <c r="C45" t="s">
        <v>249</v>
      </c>
      <c r="D45" t="s">
        <v>423</v>
      </c>
      <c r="I45">
        <v>3200</v>
      </c>
      <c r="K45" t="s">
        <v>470</v>
      </c>
      <c r="L45">
        <f>HYPERLINK("https://maps.cookcountyil.gov/cookviewer/?search=1115 S PLYMOUTH CT", "1115 S PLYMOUTH CT")</f>
        <v>0</v>
      </c>
      <c r="N45" t="s">
        <v>614</v>
      </c>
      <c r="P45" t="s">
        <v>653</v>
      </c>
      <c r="Q45" t="s">
        <v>837</v>
      </c>
      <c r="U45" t="s">
        <v>984</v>
      </c>
      <c r="V45" t="s">
        <v>985</v>
      </c>
    </row>
    <row r="46" spans="1:22">
      <c r="A46">
        <v>45</v>
      </c>
      <c r="B46" t="s">
        <v>63</v>
      </c>
      <c r="C46" t="s">
        <v>250</v>
      </c>
      <c r="D46" t="s">
        <v>414</v>
      </c>
      <c r="I46">
        <v>9000</v>
      </c>
      <c r="K46" t="s">
        <v>471</v>
      </c>
      <c r="L46">
        <f>HYPERLINK("https://maps.cookcountyil.gov/cookviewer/?search=1333 W WALTON ST", "1333 W WALTON ST")</f>
        <v>0</v>
      </c>
      <c r="N46" t="s">
        <v>614</v>
      </c>
      <c r="P46" t="s">
        <v>654</v>
      </c>
      <c r="Q46" t="s">
        <v>838</v>
      </c>
      <c r="U46">
        <f>HYPERLINK("https://www.cookcountyassessoril.gov/pin/17053200160000", "17-05-320-016-0000")</f>
        <v>0</v>
      </c>
      <c r="V46" t="s">
        <v>985</v>
      </c>
    </row>
    <row r="47" spans="1:22">
      <c r="A47">
        <v>46</v>
      </c>
      <c r="B47" t="s">
        <v>64</v>
      </c>
      <c r="C47" t="s">
        <v>251</v>
      </c>
      <c r="D47" t="s">
        <v>415</v>
      </c>
      <c r="I47">
        <v>8500</v>
      </c>
      <c r="K47" t="s">
        <v>472</v>
      </c>
      <c r="L47">
        <f>HYPERLINK("https://maps.cookcountyil.gov/cookviewer/?search=13240 S COMMERCIAL AVE", "13240 S COMMERCIAL AVE")</f>
        <v>0</v>
      </c>
      <c r="N47" t="s">
        <v>614</v>
      </c>
      <c r="P47" t="s">
        <v>655</v>
      </c>
      <c r="Q47" t="s">
        <v>839</v>
      </c>
      <c r="U47">
        <f>HYPERLINK("https://www.cookcountyassessoril.gov/pin/26311140270000", "26-31-114-027-0000")</f>
        <v>0</v>
      </c>
      <c r="V47" t="s">
        <v>985</v>
      </c>
    </row>
    <row r="48" spans="1:22">
      <c r="A48">
        <v>47</v>
      </c>
      <c r="B48" t="s">
        <v>65</v>
      </c>
      <c r="C48" t="s">
        <v>252</v>
      </c>
      <c r="D48" t="s">
        <v>419</v>
      </c>
      <c r="I48">
        <v>24053</v>
      </c>
      <c r="K48" t="s">
        <v>473</v>
      </c>
      <c r="L48">
        <f>HYPERLINK("https://maps.cookcountyil.gov/cookviewer/?search=7212 S WASHTENAW AVE", "7212 S WASHTENAW AVE")</f>
        <v>0</v>
      </c>
      <c r="N48" t="s">
        <v>614</v>
      </c>
      <c r="P48" t="s">
        <v>656</v>
      </c>
      <c r="Q48" t="s">
        <v>840</v>
      </c>
      <c r="U48">
        <f>HYPERLINK("https://www.cookcountyassessoril.gov/pin/19252090250000", "19-25-209-025-0000")</f>
        <v>0</v>
      </c>
      <c r="V48" t="s">
        <v>986</v>
      </c>
    </row>
    <row r="49" spans="1:22">
      <c r="A49">
        <v>48</v>
      </c>
      <c r="B49" t="s">
        <v>66</v>
      </c>
      <c r="C49" t="s">
        <v>253</v>
      </c>
      <c r="D49" t="s">
        <v>419</v>
      </c>
      <c r="I49">
        <v>2400</v>
      </c>
      <c r="K49" t="s">
        <v>474</v>
      </c>
      <c r="L49">
        <f>HYPERLINK("https://maps.cookcountyil.gov/cookviewer/?search=1806 W 103RD ST", "1806 W 103RD ST")</f>
        <v>0</v>
      </c>
      <c r="N49" t="s">
        <v>614</v>
      </c>
      <c r="P49" t="s">
        <v>657</v>
      </c>
      <c r="Q49" t="s">
        <v>841</v>
      </c>
      <c r="U49" t="s">
        <v>984</v>
      </c>
      <c r="V49" t="s">
        <v>985</v>
      </c>
    </row>
    <row r="50" spans="1:22">
      <c r="A50">
        <v>49</v>
      </c>
      <c r="B50" t="s">
        <v>67</v>
      </c>
      <c r="C50" t="s">
        <v>254</v>
      </c>
      <c r="D50" t="s">
        <v>424</v>
      </c>
      <c r="I50">
        <v>8000</v>
      </c>
      <c r="K50" t="s">
        <v>475</v>
      </c>
      <c r="L50">
        <f>HYPERLINK("https://maps.cookcountyil.gov/cookviewer/?search=3807 W 60TH ST", "3807 W 60TH ST")</f>
        <v>0</v>
      </c>
      <c r="N50" t="s">
        <v>614</v>
      </c>
      <c r="P50" t="s">
        <v>658</v>
      </c>
      <c r="Q50" t="s">
        <v>842</v>
      </c>
      <c r="U50">
        <f>HYPERLINK("https://www.cookcountyassessoril.gov/pin/19143090470000", "19-14-309-047-0000")</f>
        <v>0</v>
      </c>
      <c r="V50" t="s">
        <v>985</v>
      </c>
    </row>
    <row r="51" spans="1:22">
      <c r="A51">
        <v>50</v>
      </c>
      <c r="B51" t="s">
        <v>68</v>
      </c>
      <c r="C51" t="s">
        <v>255</v>
      </c>
      <c r="D51" t="s">
        <v>425</v>
      </c>
      <c r="I51">
        <v>1100</v>
      </c>
      <c r="K51" t="s">
        <v>476</v>
      </c>
      <c r="L51">
        <f>HYPERLINK("https://maps.cookcountyil.gov/cookviewer/?search=114 N PARKSIDE AVE", "114 N PARKSIDE AVE")</f>
        <v>0</v>
      </c>
      <c r="N51" t="s">
        <v>614</v>
      </c>
      <c r="P51" t="s">
        <v>659</v>
      </c>
      <c r="Q51" t="s">
        <v>843</v>
      </c>
      <c r="U51">
        <f>HYPERLINK("https://www.cookcountyassessoril.gov/pin/16084160260000", "16-08-416-026-0000")</f>
        <v>0</v>
      </c>
      <c r="V51" t="s">
        <v>985</v>
      </c>
    </row>
    <row r="52" spans="1:22">
      <c r="A52">
        <v>51</v>
      </c>
      <c r="B52" t="s">
        <v>69</v>
      </c>
      <c r="C52" t="s">
        <v>256</v>
      </c>
      <c r="D52" t="s">
        <v>421</v>
      </c>
      <c r="I52">
        <v>9000</v>
      </c>
      <c r="K52" t="s">
        <v>477</v>
      </c>
      <c r="L52">
        <f>HYPERLINK("https://maps.cookcountyil.gov/cookviewer/?search=5757 S KENTON AVE", "5757 S KENTON AVE")</f>
        <v>0</v>
      </c>
      <c r="N52" t="s">
        <v>614</v>
      </c>
      <c r="P52" t="s">
        <v>660</v>
      </c>
      <c r="Q52" t="s">
        <v>844</v>
      </c>
      <c r="U52">
        <f>HYPERLINK("https://www.cookcountyassessoril.gov/pin/19151190371003", "19-15-119-037-1003"), =HYPERLINK("https://www.cookcountyassessoril.gov/pin/19151190371004", "19-15-119-037-1004"), =HYPERLINK("https://www.cookcountyassessoril.gov/pin/19151190371001", "19-15-119-037-1001"), =HYPERLINK("https://www.cookcountyassessoril.gov/pin/19151190371002", "19-15-119-037-1002"), =HYPERLINK("https://www.cookcountyassessoril.gov/pin/19151190371005", "19-15-119-037-1005"), =HYPERLINK("https://www.cookcountyassessoril.gov/pin/19151190371006", "19-15-119-037-1006")</f>
        <v>0</v>
      </c>
      <c r="V52" t="s">
        <v>985</v>
      </c>
    </row>
    <row r="53" spans="1:22">
      <c r="A53">
        <v>52</v>
      </c>
      <c r="B53" t="s">
        <v>70</v>
      </c>
      <c r="C53" t="s">
        <v>257</v>
      </c>
      <c r="D53" t="s">
        <v>410</v>
      </c>
      <c r="I53">
        <v>7000</v>
      </c>
      <c r="K53" t="s">
        <v>478</v>
      </c>
      <c r="L53">
        <f>HYPERLINK("https://maps.cookcountyil.gov/cookviewer/?search=944 N MASSASOIT AVE", "944 N MASSASOIT AVE")</f>
        <v>0</v>
      </c>
      <c r="N53" t="s">
        <v>614</v>
      </c>
      <c r="P53" t="s">
        <v>661</v>
      </c>
      <c r="Q53" t="s">
        <v>845</v>
      </c>
      <c r="U53">
        <f>HYPERLINK("https://www.cookcountyassessoril.gov/pin/16054200370000", "16-05-420-037-0000")</f>
        <v>0</v>
      </c>
      <c r="V53" t="s">
        <v>985</v>
      </c>
    </row>
    <row r="54" spans="1:22">
      <c r="A54">
        <v>53</v>
      </c>
      <c r="B54" t="s">
        <v>71</v>
      </c>
      <c r="C54" t="s">
        <v>258</v>
      </c>
      <c r="D54" t="s">
        <v>415</v>
      </c>
      <c r="I54">
        <v>120000</v>
      </c>
      <c r="K54" t="s">
        <v>479</v>
      </c>
      <c r="L54">
        <f>HYPERLINK("https://maps.cookcountyil.gov/cookviewer/?search=1321 W BIRCHWOOD AVE", "1321 W BIRCHWOOD AVE")</f>
        <v>0</v>
      </c>
      <c r="N54" t="s">
        <v>614</v>
      </c>
      <c r="P54" t="s">
        <v>662</v>
      </c>
      <c r="Q54" t="s">
        <v>846</v>
      </c>
      <c r="U54" t="s">
        <v>984</v>
      </c>
      <c r="V54" t="s">
        <v>986</v>
      </c>
    </row>
    <row r="55" spans="1:22">
      <c r="A55">
        <v>54</v>
      </c>
      <c r="B55" t="s">
        <v>72</v>
      </c>
      <c r="C55" t="s">
        <v>259</v>
      </c>
      <c r="D55" t="s">
        <v>424</v>
      </c>
      <c r="I55">
        <v>160000</v>
      </c>
      <c r="K55" t="s">
        <v>480</v>
      </c>
      <c r="L55">
        <f>HYPERLINK("https://maps.cookcountyil.gov/cookviewer/?search=353 N CLARK ST", "353 N CLARK ST")</f>
        <v>0</v>
      </c>
      <c r="N55" t="s">
        <v>614</v>
      </c>
      <c r="P55" t="s">
        <v>663</v>
      </c>
      <c r="Q55" t="s">
        <v>847</v>
      </c>
      <c r="U55">
        <f>HYPERLINK("https://www.cookcountyassessoril.gov/pin/17094080120000", "17-09-408-012-0000"), =HYPERLINK("https://www.cookcountyassessoril.gov/pin/17094080140000", "17-09-408-014-0000")</f>
        <v>0</v>
      </c>
      <c r="V55" t="s">
        <v>985</v>
      </c>
    </row>
    <row r="56" spans="1:22">
      <c r="A56">
        <v>55</v>
      </c>
      <c r="B56" t="s">
        <v>73</v>
      </c>
      <c r="C56" t="s">
        <v>260</v>
      </c>
      <c r="D56" t="s">
        <v>416</v>
      </c>
      <c r="I56">
        <v>144000</v>
      </c>
      <c r="K56" t="s">
        <v>481</v>
      </c>
      <c r="L56">
        <f>HYPERLINK("https://maps.cookcountyil.gov/cookviewer/?search=600 E GRAND AVE", "600 E GRAND AVE")</f>
        <v>0</v>
      </c>
      <c r="N56" t="s">
        <v>614</v>
      </c>
      <c r="P56" t="s">
        <v>664</v>
      </c>
      <c r="Q56" t="s">
        <v>848</v>
      </c>
      <c r="U56">
        <f>HYPERLINK("https://www.cookcountyassessoril.gov/pin/17102170028046", "17-10-217-002-8046"), =HYPERLINK("https://www.cookcountyassessoril.gov/pin/17102170028020", "17-10-217-002-8020"), =HYPERLINK("https://www.cookcountyassessoril.gov/pin/17102170028051", "17-10-217-002-8051"), =HYPERLINK("https://www.cookcountyassessoril.gov/pin/17102170028002", "17-10-217-002-8002"), =HYPERLINK("https://www.cookcountyassessoril.gov/pin/17102170028071", "17-10-217-002-8071"), =HYPERLINK("https://www.cookcountyassessoril.gov/pin/17102170028001", "17-10-217-002-8001"), =HYPERLINK("https://www.cookcountyassessoril.gov/pin/17102170028062", "17-10-217-002-8062"), =HYPERLINK("https://www.cookcountyassessoril.gov/pin/17102170028061", "17-10-217-002-8061"), =HYPERLINK("https://www.cookcountyassessoril.gov/pin/17102170028021", "17-10-217-002-8021"), =HYPERLINK("https://www.cookcountyassessoril.gov/pin/17102170028077", "17-10-217-002-8077"), =HYPERLINK("https://www.cookcountyassessoril.gov/pin/17102170028065", "17-10-217-002-8065"), =HYPERLINK("https://www.cookcountyassessoril.gov/pin/17102170028055", "17-10-217-002-8055"), =HYPERLINK("https://www.cookcountyassessoril.gov/pin/17102170028036", "17-10-217-002-8036"), =HYPERLINK("https://www.cookcountyassessoril.gov/pin/17102170028063", "17-10-217-002-8063"), =HYPERLINK("https://www.cookcountyassessoril.gov/pin/17102170028075", "17-10-217-002-8075"), =HYPERLINK("https://www.cookcountyassessoril.gov/pin/17102170028076", "17-10-217-002-8076"), =HYPERLINK("https://www.cookcountyassessoril.gov/pin/17102170028070", "17-10-217-002-8070"), =HYPERLINK("https://www.cookcountyassessoril.gov/pin/17102170028034", "17-10-217-002-8034")</f>
        <v>0</v>
      </c>
      <c r="V56" t="s">
        <v>985</v>
      </c>
    </row>
    <row r="57" spans="1:22">
      <c r="A57">
        <v>56</v>
      </c>
      <c r="B57" t="s">
        <v>74</v>
      </c>
      <c r="C57" t="s">
        <v>261</v>
      </c>
      <c r="D57" t="s">
        <v>424</v>
      </c>
      <c r="I57">
        <v>2617</v>
      </c>
      <c r="K57" t="s">
        <v>482</v>
      </c>
      <c r="L57">
        <f>HYPERLINK("https://maps.cookcountyil.gov/cookviewer/?search=4708 N AVERS AVE", "4708 N AVERS AVE")</f>
        <v>0</v>
      </c>
      <c r="N57" t="s">
        <v>614</v>
      </c>
      <c r="P57" t="s">
        <v>665</v>
      </c>
      <c r="Q57" t="s">
        <v>849</v>
      </c>
      <c r="U57">
        <f>HYPERLINK("https://www.cookcountyassessoril.gov/pin/13141020400000", "13-14-102-040-0000")</f>
        <v>0</v>
      </c>
      <c r="V57" t="s">
        <v>985</v>
      </c>
    </row>
    <row r="58" spans="1:22">
      <c r="A58">
        <v>57</v>
      </c>
      <c r="B58" t="s">
        <v>75</v>
      </c>
      <c r="C58" t="s">
        <v>262</v>
      </c>
      <c r="D58" t="s">
        <v>411</v>
      </c>
      <c r="I58">
        <v>100</v>
      </c>
      <c r="K58" t="s">
        <v>483</v>
      </c>
      <c r="L58">
        <f>HYPERLINK("https://maps.cookcountyil.gov/cookviewer/?search=11601 W TOUHY AVE", "11601 W TOUHY AVE")</f>
        <v>0</v>
      </c>
      <c r="N58" t="s">
        <v>614</v>
      </c>
      <c r="P58" t="s">
        <v>666</v>
      </c>
      <c r="Q58" t="s">
        <v>850</v>
      </c>
      <c r="U58" t="s">
        <v>984</v>
      </c>
      <c r="V58" t="s">
        <v>985</v>
      </c>
    </row>
    <row r="59" spans="1:22">
      <c r="A59">
        <v>58</v>
      </c>
      <c r="B59" t="s">
        <v>76</v>
      </c>
      <c r="C59" t="s">
        <v>263</v>
      </c>
      <c r="D59" t="s">
        <v>424</v>
      </c>
      <c r="I59">
        <v>88124</v>
      </c>
      <c r="K59" t="s">
        <v>484</v>
      </c>
      <c r="L59">
        <f>HYPERLINK("https://maps.cookcountyil.gov/cookviewer/?search=2052 W NORTH AVE", "2052 W NORTH AVE")</f>
        <v>0</v>
      </c>
      <c r="N59" t="s">
        <v>614</v>
      </c>
      <c r="P59" t="s">
        <v>667</v>
      </c>
      <c r="Q59" t="s">
        <v>851</v>
      </c>
      <c r="U59">
        <f>HYPERLINK("https://www.cookcountyassessoril.gov/pin/14313330311001", "14-31-333-031-1001")</f>
        <v>0</v>
      </c>
      <c r="V59" t="s">
        <v>986</v>
      </c>
    </row>
    <row r="60" spans="1:22">
      <c r="A60">
        <v>59</v>
      </c>
      <c r="B60" t="s">
        <v>77</v>
      </c>
      <c r="C60" t="s">
        <v>264</v>
      </c>
      <c r="D60" t="s">
        <v>424</v>
      </c>
      <c r="I60">
        <v>8000</v>
      </c>
      <c r="K60" t="s">
        <v>485</v>
      </c>
      <c r="L60">
        <f>HYPERLINK("https://maps.cookcountyil.gov/cookviewer/?search=11538 S JUSTINE ST", "11538 S JUSTINE ST")</f>
        <v>0</v>
      </c>
      <c r="N60" t="s">
        <v>614</v>
      </c>
      <c r="P60" t="s">
        <v>668</v>
      </c>
      <c r="U60">
        <f>HYPERLINK("https://www.cookcountyassessoril.gov/pin/25203000370000", "25-20-300-037-0000")</f>
        <v>0</v>
      </c>
      <c r="V60" t="s">
        <v>985</v>
      </c>
    </row>
    <row r="61" spans="1:22">
      <c r="A61">
        <v>60</v>
      </c>
      <c r="B61" t="s">
        <v>78</v>
      </c>
      <c r="C61" t="s">
        <v>265</v>
      </c>
      <c r="D61" t="s">
        <v>407</v>
      </c>
      <c r="I61">
        <v>5000</v>
      </c>
      <c r="K61" t="s">
        <v>486</v>
      </c>
      <c r="L61">
        <f>HYPERLINK("https://maps.cookcountyil.gov/cookviewer/?search=2242 S DAMEN AVE", "2242 S DAMEN AVE")</f>
        <v>0</v>
      </c>
      <c r="N61" t="s">
        <v>614</v>
      </c>
      <c r="P61" t="s">
        <v>669</v>
      </c>
      <c r="Q61" t="s">
        <v>852</v>
      </c>
      <c r="U61" t="s">
        <v>984</v>
      </c>
      <c r="V61" t="s">
        <v>986</v>
      </c>
    </row>
    <row r="62" spans="1:22">
      <c r="A62">
        <v>61</v>
      </c>
      <c r="B62" t="s">
        <v>79</v>
      </c>
      <c r="C62" t="s">
        <v>266</v>
      </c>
      <c r="D62" t="s">
        <v>418</v>
      </c>
      <c r="I62">
        <v>15300</v>
      </c>
      <c r="K62" t="s">
        <v>487</v>
      </c>
      <c r="L62">
        <f>HYPERLINK("https://maps.cookcountyil.gov/cookviewer/?search=8021 S BLACKSTONE AVE", "8021 S BLACKSTONE AVE")</f>
        <v>0</v>
      </c>
      <c r="N62" t="s">
        <v>614</v>
      </c>
      <c r="P62" t="s">
        <v>670</v>
      </c>
      <c r="Q62" t="s">
        <v>853</v>
      </c>
      <c r="U62">
        <f>HYPERLINK("https://www.cookcountyassessoril.gov/pin/20352140070000", "20-35-214-007-0000")</f>
        <v>0</v>
      </c>
      <c r="V62" t="s">
        <v>986</v>
      </c>
    </row>
    <row r="63" spans="1:22">
      <c r="A63">
        <v>62</v>
      </c>
      <c r="B63" t="s">
        <v>80</v>
      </c>
      <c r="C63" t="s">
        <v>267</v>
      </c>
      <c r="D63" t="s">
        <v>424</v>
      </c>
      <c r="I63">
        <v>4000</v>
      </c>
      <c r="K63" t="s">
        <v>488</v>
      </c>
      <c r="L63">
        <f>HYPERLINK("https://maps.cookcountyil.gov/cookviewer/?search=1723 N LOTUS AVE", "1723 N LOTUS AVE")</f>
        <v>0</v>
      </c>
      <c r="N63" t="s">
        <v>614</v>
      </c>
      <c r="P63" t="s">
        <v>671</v>
      </c>
      <c r="Q63" t="s">
        <v>854</v>
      </c>
      <c r="U63" t="s">
        <v>984</v>
      </c>
      <c r="V63" t="s">
        <v>985</v>
      </c>
    </row>
    <row r="64" spans="1:22">
      <c r="A64">
        <v>63</v>
      </c>
      <c r="B64" t="s">
        <v>81</v>
      </c>
      <c r="C64" t="s">
        <v>268</v>
      </c>
      <c r="D64" t="s">
        <v>407</v>
      </c>
      <c r="I64">
        <v>3500</v>
      </c>
      <c r="K64" t="s">
        <v>489</v>
      </c>
      <c r="L64">
        <f>HYPERLINK("https://maps.cookcountyil.gov/cookviewer/?search=9335 S SOUTH CHICAGO AVE", "9335 S SOUTH CHICAGO AVE")</f>
        <v>0</v>
      </c>
      <c r="N64" t="s">
        <v>614</v>
      </c>
      <c r="P64" t="s">
        <v>672</v>
      </c>
      <c r="Q64" t="s">
        <v>855</v>
      </c>
      <c r="U64">
        <f>HYPERLINK("https://www.cookcountyassessoril.gov/pin/26064180040000", "26-06-418-004-0000")</f>
        <v>0</v>
      </c>
      <c r="V64" t="s">
        <v>985</v>
      </c>
    </row>
    <row r="65" spans="1:22">
      <c r="A65">
        <v>64</v>
      </c>
      <c r="B65" t="s">
        <v>82</v>
      </c>
      <c r="C65" t="s">
        <v>269</v>
      </c>
      <c r="D65" t="s">
        <v>414</v>
      </c>
      <c r="I65">
        <v>10000</v>
      </c>
      <c r="K65" t="s">
        <v>490</v>
      </c>
      <c r="L65">
        <f>HYPERLINK("https://maps.cookcountyil.gov/cookviewer/?search=164 N LOTUS AVE", "164 N LOTUS AVE")</f>
        <v>0</v>
      </c>
      <c r="N65" t="s">
        <v>614</v>
      </c>
      <c r="P65" t="s">
        <v>673</v>
      </c>
      <c r="Q65" t="s">
        <v>856</v>
      </c>
      <c r="U65">
        <f>HYPERLINK("https://www.cookcountyassessoril.gov/pin/16093150180000", "16-09-315-018-0000")</f>
        <v>0</v>
      </c>
      <c r="V65" t="s">
        <v>985</v>
      </c>
    </row>
    <row r="66" spans="1:22">
      <c r="A66">
        <v>65</v>
      </c>
      <c r="B66" t="s">
        <v>83</v>
      </c>
      <c r="C66" t="s">
        <v>270</v>
      </c>
      <c r="D66" t="s">
        <v>425</v>
      </c>
      <c r="I66">
        <v>85818</v>
      </c>
      <c r="K66" t="s">
        <v>491</v>
      </c>
      <c r="L66">
        <f>HYPERLINK("https://maps.cookcountyil.gov/cookviewer/?search=4540 N SEELEY AVE", "4540 N SEELEY AVE")</f>
        <v>0</v>
      </c>
      <c r="N66" t="s">
        <v>614</v>
      </c>
      <c r="P66" t="s">
        <v>674</v>
      </c>
      <c r="Q66" t="s">
        <v>857</v>
      </c>
      <c r="U66">
        <f>HYPERLINK("https://www.cookcountyassessoril.gov/pin/14181270220000", "14-18-127-022-0000")</f>
        <v>0</v>
      </c>
      <c r="V66" t="s">
        <v>986</v>
      </c>
    </row>
    <row r="67" spans="1:22">
      <c r="A67">
        <v>66</v>
      </c>
      <c r="B67" t="s">
        <v>84</v>
      </c>
      <c r="C67" t="s">
        <v>271</v>
      </c>
      <c r="D67" t="s">
        <v>416</v>
      </c>
      <c r="I67">
        <v>7200</v>
      </c>
      <c r="K67" t="s">
        <v>492</v>
      </c>
      <c r="L67">
        <f>HYPERLINK("https://maps.cookcountyil.gov/cookviewer/?search=10430 S SAWYER AVE", "10430 S SAWYER AVE")</f>
        <v>0</v>
      </c>
      <c r="N67" t="s">
        <v>614</v>
      </c>
      <c r="P67" t="s">
        <v>675</v>
      </c>
      <c r="Q67" t="s">
        <v>858</v>
      </c>
      <c r="U67" t="s">
        <v>984</v>
      </c>
      <c r="V67" t="s">
        <v>986</v>
      </c>
    </row>
    <row r="68" spans="1:22">
      <c r="A68">
        <v>67</v>
      </c>
      <c r="B68" t="s">
        <v>75</v>
      </c>
      <c r="C68" t="s">
        <v>272</v>
      </c>
      <c r="D68" t="s">
        <v>424</v>
      </c>
      <c r="I68">
        <v>15500</v>
      </c>
      <c r="K68" t="s">
        <v>493</v>
      </c>
      <c r="L68">
        <f>HYPERLINK("https://maps.cookcountyil.gov/cookviewer/?search=10000 W OHARE ST", "10000 W OHARE ST")</f>
        <v>0</v>
      </c>
      <c r="N68" t="s">
        <v>614</v>
      </c>
      <c r="P68" t="s">
        <v>676</v>
      </c>
      <c r="Q68" t="s">
        <v>859</v>
      </c>
      <c r="U68" t="s">
        <v>984</v>
      </c>
      <c r="V68" t="s">
        <v>985</v>
      </c>
    </row>
    <row r="69" spans="1:22">
      <c r="A69">
        <v>68</v>
      </c>
      <c r="B69" t="s">
        <v>85</v>
      </c>
      <c r="C69" t="s">
        <v>273</v>
      </c>
      <c r="D69" t="s">
        <v>412</v>
      </c>
      <c r="I69">
        <v>14000</v>
      </c>
      <c r="K69" t="s">
        <v>494</v>
      </c>
      <c r="L69">
        <f>HYPERLINK("https://maps.cookcountyil.gov/cookviewer/?search=6441 S SANGAMON ST", "6441 S SANGAMON ST")</f>
        <v>0</v>
      </c>
      <c r="N69" t="s">
        <v>614</v>
      </c>
      <c r="P69" t="s">
        <v>677</v>
      </c>
      <c r="Q69" t="s">
        <v>860</v>
      </c>
      <c r="U69">
        <f>HYPERLINK("https://www.cookcountyassessoril.gov/pin/20202130130000", "20-20-213-013-0000")</f>
        <v>0</v>
      </c>
      <c r="V69" t="s">
        <v>985</v>
      </c>
    </row>
    <row r="70" spans="1:22">
      <c r="A70">
        <v>69</v>
      </c>
      <c r="B70" t="s">
        <v>86</v>
      </c>
      <c r="C70" t="s">
        <v>274</v>
      </c>
      <c r="D70" t="s">
        <v>421</v>
      </c>
      <c r="I70">
        <v>2000</v>
      </c>
      <c r="K70" t="s">
        <v>495</v>
      </c>
      <c r="L70">
        <f>HYPERLINK("https://maps.cookcountyil.gov/cookviewer/?search=12 S MICHIGAN AVE", "12 S MICHIGAN AVE")</f>
        <v>0</v>
      </c>
      <c r="N70" t="s">
        <v>614</v>
      </c>
      <c r="P70" t="s">
        <v>678</v>
      </c>
      <c r="Q70" t="s">
        <v>861</v>
      </c>
      <c r="U70">
        <f>HYPERLINK("https://www.cookcountyassessoril.gov/pin/17151010100000", "17-15-101-010-0000")</f>
        <v>0</v>
      </c>
      <c r="V70" t="s">
        <v>985</v>
      </c>
    </row>
    <row r="71" spans="1:22">
      <c r="A71">
        <v>70</v>
      </c>
      <c r="B71" t="s">
        <v>87</v>
      </c>
      <c r="C71" t="s">
        <v>275</v>
      </c>
      <c r="D71" t="s">
        <v>424</v>
      </c>
      <c r="I71">
        <v>6200</v>
      </c>
      <c r="K71" t="s">
        <v>496</v>
      </c>
      <c r="L71">
        <f>HYPERLINK("https://maps.cookcountyil.gov/cookviewer/?search=7900 S SOUTH SHORE DR", "7900 S SOUTH SHORE DR")</f>
        <v>0</v>
      </c>
      <c r="N71" t="s">
        <v>614</v>
      </c>
      <c r="P71" t="s">
        <v>679</v>
      </c>
      <c r="Q71" t="s">
        <v>862</v>
      </c>
      <c r="U71">
        <f>HYPERLINK("https://www.cookcountyassessoril.gov/pin/21312060400000", "21-31-206-040-0000")</f>
        <v>0</v>
      </c>
      <c r="V71" t="s">
        <v>985</v>
      </c>
    </row>
    <row r="72" spans="1:22">
      <c r="A72">
        <v>71</v>
      </c>
      <c r="B72" t="s">
        <v>88</v>
      </c>
      <c r="C72" t="s">
        <v>276</v>
      </c>
      <c r="D72" t="s">
        <v>413</v>
      </c>
      <c r="I72">
        <v>20000</v>
      </c>
      <c r="K72" t="s">
        <v>497</v>
      </c>
      <c r="L72">
        <f>HYPERLINK("https://maps.cookcountyil.gov/cookviewer/?search=3017 W ARMITAGE AVE", "3017 W ARMITAGE AVE")</f>
        <v>0</v>
      </c>
      <c r="N72" t="s">
        <v>614</v>
      </c>
      <c r="P72" t="s">
        <v>680</v>
      </c>
      <c r="Q72" t="s">
        <v>863</v>
      </c>
      <c r="U72" t="s">
        <v>984</v>
      </c>
      <c r="V72" t="s">
        <v>985</v>
      </c>
    </row>
    <row r="73" spans="1:22">
      <c r="A73">
        <v>72</v>
      </c>
      <c r="B73" t="s">
        <v>89</v>
      </c>
      <c r="C73" t="s">
        <v>277</v>
      </c>
      <c r="D73" t="s">
        <v>414</v>
      </c>
      <c r="I73">
        <v>20000</v>
      </c>
      <c r="K73" t="s">
        <v>498</v>
      </c>
      <c r="L73">
        <f>HYPERLINK("https://maps.cookcountyil.gov/cookviewer/?search=2637 S HAMLIN AVE", "2637 S HAMLIN AVE")</f>
        <v>0</v>
      </c>
      <c r="N73" t="s">
        <v>614</v>
      </c>
      <c r="P73" t="s">
        <v>681</v>
      </c>
      <c r="Q73" t="s">
        <v>864</v>
      </c>
      <c r="U73">
        <f>HYPERLINK("https://www.cookcountyassessoril.gov/pin/16263040110000", "16-26-304-011-0000")</f>
        <v>0</v>
      </c>
      <c r="V73" t="s">
        <v>986</v>
      </c>
    </row>
    <row r="74" spans="1:22">
      <c r="A74">
        <v>73</v>
      </c>
      <c r="B74" t="s">
        <v>90</v>
      </c>
      <c r="C74" t="s">
        <v>278</v>
      </c>
      <c r="D74" t="s">
        <v>424</v>
      </c>
      <c r="I74">
        <v>1500</v>
      </c>
      <c r="K74" t="s">
        <v>499</v>
      </c>
      <c r="L74">
        <f>HYPERLINK("https://maps.cookcountyil.gov/cookviewer/?search=6200 S MONITOR AVE", "6200 S MONITOR AVE")</f>
        <v>0</v>
      </c>
      <c r="N74" t="s">
        <v>614</v>
      </c>
      <c r="P74" t="s">
        <v>682</v>
      </c>
      <c r="Q74" t="s">
        <v>865</v>
      </c>
      <c r="U74">
        <f>HYPERLINK("https://www.cookcountyassessoril.gov/pin/19174260410000", "19-17-426-041-0000")</f>
        <v>0</v>
      </c>
      <c r="V74" t="s">
        <v>985</v>
      </c>
    </row>
    <row r="75" spans="1:22">
      <c r="A75">
        <v>74</v>
      </c>
      <c r="B75" t="s">
        <v>91</v>
      </c>
      <c r="C75" t="s">
        <v>279</v>
      </c>
      <c r="D75" t="s">
        <v>410</v>
      </c>
      <c r="I75">
        <v>8000</v>
      </c>
      <c r="K75" t="s">
        <v>500</v>
      </c>
      <c r="L75">
        <f>HYPERLINK("https://maps.cookcountyil.gov/cookviewer/?search=7758 S EUCLID AVE", "7758 S EUCLID AVE")</f>
        <v>0</v>
      </c>
      <c r="N75" t="s">
        <v>614</v>
      </c>
      <c r="P75" t="s">
        <v>683</v>
      </c>
      <c r="Q75" t="s">
        <v>866</v>
      </c>
      <c r="U75">
        <f>HYPERLINK("https://www.cookcountyassessoril.gov/pin/20253220350000", "20-25-322-035-0000")</f>
        <v>0</v>
      </c>
      <c r="V75" t="s">
        <v>985</v>
      </c>
    </row>
    <row r="76" spans="1:22">
      <c r="A76">
        <v>75</v>
      </c>
      <c r="B76" t="s">
        <v>92</v>
      </c>
      <c r="C76" t="s">
        <v>280</v>
      </c>
      <c r="D76" t="s">
        <v>424</v>
      </c>
      <c r="I76">
        <v>10000</v>
      </c>
      <c r="K76" t="s">
        <v>501</v>
      </c>
      <c r="L76">
        <f>HYPERLINK("https://maps.cookcountyil.gov/cookviewer/?search=2880 S ARCHER AVE", "2880 S ARCHER AVE")</f>
        <v>0</v>
      </c>
      <c r="N76" t="s">
        <v>614</v>
      </c>
      <c r="P76" t="s">
        <v>684</v>
      </c>
      <c r="Q76" t="s">
        <v>867</v>
      </c>
      <c r="U76">
        <f>HYPERLINK("https://www.cookcountyassessoril.gov/pin/17293140490000", "17-29-314-049-0000")</f>
        <v>0</v>
      </c>
      <c r="V76" t="s">
        <v>985</v>
      </c>
    </row>
    <row r="77" spans="1:22">
      <c r="A77">
        <v>76</v>
      </c>
      <c r="B77" t="s">
        <v>93</v>
      </c>
      <c r="C77" t="s">
        <v>281</v>
      </c>
      <c r="D77" t="s">
        <v>412</v>
      </c>
      <c r="I77">
        <v>5000</v>
      </c>
      <c r="K77" t="s">
        <v>502</v>
      </c>
      <c r="L77">
        <f>HYPERLINK("https://maps.cookcountyil.gov/cookviewer/?search=1410 S MUSEUM CAMPUS DR", "1410 S MUSEUM CAMPUS DR")</f>
        <v>0</v>
      </c>
      <c r="N77" t="s">
        <v>614</v>
      </c>
      <c r="P77" t="s">
        <v>685</v>
      </c>
      <c r="Q77" t="s">
        <v>868</v>
      </c>
      <c r="U77">
        <f>HYPERLINK("https://www.cookcountyassessoril.gov/pin/17221100020000", "17-22-110-002-0000")</f>
        <v>0</v>
      </c>
      <c r="V77" t="s">
        <v>985</v>
      </c>
    </row>
    <row r="78" spans="1:22">
      <c r="A78">
        <v>77</v>
      </c>
      <c r="B78" t="s">
        <v>94</v>
      </c>
      <c r="C78" t="s">
        <v>282</v>
      </c>
      <c r="D78" t="s">
        <v>424</v>
      </c>
      <c r="I78">
        <v>92500</v>
      </c>
      <c r="K78" t="s">
        <v>503</v>
      </c>
      <c r="L78">
        <f>HYPERLINK("https://maps.cookcountyil.gov/cookviewer/?search=4241 W WASHINGTON BLVD", "4241 W WASHINGTON BLVD")</f>
        <v>0</v>
      </c>
      <c r="N78" t="s">
        <v>614</v>
      </c>
      <c r="P78" t="s">
        <v>686</v>
      </c>
      <c r="Q78" t="s">
        <v>869</v>
      </c>
      <c r="U78">
        <f>HYPERLINK("https://www.cookcountyassessoril.gov/pin/16104230030000", "16-10-423-003-0000")</f>
        <v>0</v>
      </c>
      <c r="V78" t="s">
        <v>985</v>
      </c>
    </row>
    <row r="79" spans="1:22">
      <c r="A79">
        <v>78</v>
      </c>
      <c r="B79" t="s">
        <v>95</v>
      </c>
      <c r="C79" t="s">
        <v>283</v>
      </c>
      <c r="D79" t="s">
        <v>411</v>
      </c>
      <c r="I79">
        <v>1220000</v>
      </c>
      <c r="K79" t="s">
        <v>504</v>
      </c>
      <c r="L79">
        <f>HYPERLINK("https://maps.cookcountyil.gov/cookviewer/?search=454 N COLUMBUS DR", "454 N COLUMBUS DR")</f>
        <v>0</v>
      </c>
      <c r="N79" t="s">
        <v>614</v>
      </c>
      <c r="P79" t="s">
        <v>687</v>
      </c>
      <c r="Q79" t="s">
        <v>870</v>
      </c>
      <c r="U79">
        <f>HYPERLINK("https://www.cookcountyassessoril.gov/pin/17102150790000", "17-10-215-079-0000")</f>
        <v>0</v>
      </c>
      <c r="V79" t="s">
        <v>985</v>
      </c>
    </row>
    <row r="80" spans="1:22">
      <c r="A80">
        <v>79</v>
      </c>
      <c r="B80" t="s">
        <v>96</v>
      </c>
      <c r="C80" t="s">
        <v>284</v>
      </c>
      <c r="D80" t="s">
        <v>411</v>
      </c>
      <c r="I80">
        <v>6000</v>
      </c>
      <c r="K80" t="s">
        <v>505</v>
      </c>
      <c r="L80">
        <f>HYPERLINK("https://maps.cookcountyil.gov/cookviewer/?search=3448 W WRIGHTWOOD AVE", "3448 W WRIGHTWOOD AVE")</f>
        <v>0</v>
      </c>
      <c r="N80" t="s">
        <v>614</v>
      </c>
      <c r="P80" t="s">
        <v>688</v>
      </c>
      <c r="Q80" t="s">
        <v>871</v>
      </c>
      <c r="U80">
        <f>HYPERLINK("https://www.cookcountyassessoril.gov/pin/13264120170000", "13-26-412-017-0000")</f>
        <v>0</v>
      </c>
      <c r="V80" t="s">
        <v>985</v>
      </c>
    </row>
    <row r="81" spans="1:22">
      <c r="A81">
        <v>80</v>
      </c>
      <c r="B81" t="s">
        <v>97</v>
      </c>
      <c r="C81" t="s">
        <v>285</v>
      </c>
      <c r="D81" t="s">
        <v>424</v>
      </c>
      <c r="I81">
        <v>35000</v>
      </c>
      <c r="K81" t="s">
        <v>439</v>
      </c>
      <c r="L81">
        <f>HYPERLINK("https://maps.cookcountyil.gov/cookviewer/?search=155 N WACKER DR", "155 N WACKER DR")</f>
        <v>0</v>
      </c>
      <c r="N81" t="s">
        <v>614</v>
      </c>
      <c r="P81" t="s">
        <v>689</v>
      </c>
      <c r="Q81" t="s">
        <v>872</v>
      </c>
      <c r="U81">
        <f>HYPERLINK("https://www.cookcountyassessoril.gov/pin/17094290180000", "17-09-429-018-0000"), =HYPERLINK("https://www.cookcountyassessoril.gov/pin/17094290190000", "17-09-429-019-0000")</f>
        <v>0</v>
      </c>
      <c r="V81" t="s">
        <v>985</v>
      </c>
    </row>
    <row r="82" spans="1:22">
      <c r="A82">
        <v>81</v>
      </c>
      <c r="B82" t="s">
        <v>98</v>
      </c>
      <c r="C82" t="s">
        <v>286</v>
      </c>
      <c r="D82" t="s">
        <v>415</v>
      </c>
      <c r="I82">
        <v>4500</v>
      </c>
      <c r="K82" t="s">
        <v>506</v>
      </c>
      <c r="L82">
        <f>HYPERLINK("https://maps.cookcountyil.gov/cookviewer/?search=6415 N SHERIDAN RD", "6415 N SHERIDAN RD")</f>
        <v>0</v>
      </c>
      <c r="N82" t="s">
        <v>614</v>
      </c>
      <c r="P82" t="s">
        <v>690</v>
      </c>
      <c r="Q82" t="s">
        <v>873</v>
      </c>
      <c r="U82" t="s">
        <v>984</v>
      </c>
      <c r="V82" t="s">
        <v>985</v>
      </c>
    </row>
    <row r="83" spans="1:22">
      <c r="A83">
        <v>82</v>
      </c>
      <c r="B83" t="s">
        <v>99</v>
      </c>
      <c r="C83" t="s">
        <v>287</v>
      </c>
      <c r="D83" t="s">
        <v>407</v>
      </c>
      <c r="I83">
        <v>4106</v>
      </c>
      <c r="K83" t="s">
        <v>507</v>
      </c>
      <c r="L83">
        <f>HYPERLINK("https://maps.cookcountyil.gov/cookviewer/?search=4906 N HAMILTON AVE", "4906 N HAMILTON AVE")</f>
        <v>0</v>
      </c>
      <c r="N83" t="s">
        <v>614</v>
      </c>
      <c r="P83" t="s">
        <v>691</v>
      </c>
      <c r="Q83" t="s">
        <v>874</v>
      </c>
      <c r="U83">
        <f>HYPERLINK("https://www.cookcountyassessoril.gov/pin/14073140370000", "14-07-314-037-0000")</f>
        <v>0</v>
      </c>
      <c r="V83" t="s">
        <v>985</v>
      </c>
    </row>
    <row r="84" spans="1:22">
      <c r="A84">
        <v>83</v>
      </c>
      <c r="B84" t="s">
        <v>100</v>
      </c>
      <c r="C84" t="s">
        <v>288</v>
      </c>
      <c r="D84" t="s">
        <v>409</v>
      </c>
      <c r="I84">
        <v>100000</v>
      </c>
      <c r="K84" t="s">
        <v>508</v>
      </c>
      <c r="L84">
        <f>HYPERLINK("https://maps.cookcountyil.gov/cookviewer/?search=4950 N MARINE DR", "4950 N MARINE DR")</f>
        <v>0</v>
      </c>
      <c r="N84" t="s">
        <v>614</v>
      </c>
      <c r="P84" t="s">
        <v>692</v>
      </c>
      <c r="Q84" t="s">
        <v>875</v>
      </c>
      <c r="U84" t="s">
        <v>984</v>
      </c>
      <c r="V84" t="s">
        <v>985</v>
      </c>
    </row>
    <row r="85" spans="1:22">
      <c r="A85">
        <v>84</v>
      </c>
      <c r="B85" t="s">
        <v>101</v>
      </c>
      <c r="C85" t="s">
        <v>289</v>
      </c>
      <c r="D85" t="s">
        <v>424</v>
      </c>
      <c r="I85">
        <v>9000</v>
      </c>
      <c r="K85" t="s">
        <v>509</v>
      </c>
      <c r="L85">
        <f>HYPERLINK("https://maps.cookcountyil.gov/cookviewer/?search=3709 N OAKLEY AVE", "3709 N OAKLEY AVE")</f>
        <v>0</v>
      </c>
      <c r="N85" t="s">
        <v>614</v>
      </c>
      <c r="P85" t="s">
        <v>693</v>
      </c>
      <c r="Q85" t="s">
        <v>876</v>
      </c>
      <c r="U85" t="s">
        <v>984</v>
      </c>
      <c r="V85" t="s">
        <v>986</v>
      </c>
    </row>
    <row r="86" spans="1:22">
      <c r="A86">
        <v>85</v>
      </c>
      <c r="B86" t="s">
        <v>102</v>
      </c>
      <c r="C86" t="s">
        <v>290</v>
      </c>
      <c r="D86" t="s">
        <v>426</v>
      </c>
      <c r="I86">
        <v>11000</v>
      </c>
      <c r="K86" t="s">
        <v>510</v>
      </c>
      <c r="L86">
        <f>HYPERLINK("https://maps.cookcountyil.gov/cookviewer/?search=1030 N HERMITAGE AVE", "1030 N HERMITAGE AVE")</f>
        <v>0</v>
      </c>
      <c r="N86" t="s">
        <v>614</v>
      </c>
      <c r="P86" t="s">
        <v>694</v>
      </c>
      <c r="Q86" t="s">
        <v>877</v>
      </c>
      <c r="U86">
        <f>HYPERLINK("https://www.cookcountyassessoril.gov/pin/17065000560000", "17-06-500-056-0000")</f>
        <v>0</v>
      </c>
      <c r="V86" t="s">
        <v>985</v>
      </c>
    </row>
    <row r="87" spans="1:22">
      <c r="A87">
        <v>86</v>
      </c>
      <c r="B87" t="s">
        <v>103</v>
      </c>
      <c r="C87" t="s">
        <v>291</v>
      </c>
      <c r="D87" t="s">
        <v>407</v>
      </c>
      <c r="I87">
        <v>14575</v>
      </c>
      <c r="K87" t="s">
        <v>511</v>
      </c>
      <c r="L87">
        <f>HYPERLINK("https://maps.cookcountyil.gov/cookviewer/?search=211 E CHICAGO AVE", "211 E CHICAGO AVE")</f>
        <v>0</v>
      </c>
      <c r="N87" t="s">
        <v>614</v>
      </c>
      <c r="P87" t="s">
        <v>695</v>
      </c>
      <c r="Q87" t="s">
        <v>878</v>
      </c>
      <c r="U87">
        <f>HYPERLINK("https://www.cookcountyassessoril.gov/pin/17102000130000", "17-10-200-013-0000"), =HYPERLINK("https://www.cookcountyassessoril.gov/pin/17102000120000", "17-10-200-012-0000")</f>
        <v>0</v>
      </c>
      <c r="V87" t="s">
        <v>985</v>
      </c>
    </row>
    <row r="88" spans="1:22">
      <c r="A88">
        <v>87</v>
      </c>
      <c r="B88" t="s">
        <v>104</v>
      </c>
      <c r="C88" t="s">
        <v>292</v>
      </c>
      <c r="D88" t="s">
        <v>424</v>
      </c>
      <c r="I88">
        <v>36144</v>
      </c>
      <c r="K88" t="s">
        <v>512</v>
      </c>
      <c r="L88">
        <f>HYPERLINK("https://maps.cookcountyil.gov/cookviewer/?search=8755 W HIGGINS RD", "8755 W HIGGINS RD")</f>
        <v>0</v>
      </c>
      <c r="N88" t="s">
        <v>614</v>
      </c>
      <c r="P88" t="s">
        <v>696</v>
      </c>
      <c r="Q88" t="s">
        <v>879</v>
      </c>
      <c r="U88">
        <f>HYPERLINK("https://www.cookcountyassessoril.gov/pin/12023010160000", "12-02-301-016-0000")</f>
        <v>0</v>
      </c>
      <c r="V88" t="s">
        <v>985</v>
      </c>
    </row>
    <row r="89" spans="1:22">
      <c r="A89">
        <v>88</v>
      </c>
      <c r="B89" t="s">
        <v>105</v>
      </c>
      <c r="C89" t="s">
        <v>293</v>
      </c>
      <c r="D89" t="s">
        <v>410</v>
      </c>
      <c r="I89">
        <v>24000</v>
      </c>
      <c r="K89" t="s">
        <v>513</v>
      </c>
      <c r="L89">
        <f>HYPERLINK("https://maps.cookcountyil.gov/cookviewer/?search=8130 S LANGLEY AVE", "8130 S LANGLEY AVE")</f>
        <v>0</v>
      </c>
      <c r="N89" t="s">
        <v>614</v>
      </c>
      <c r="P89" t="s">
        <v>697</v>
      </c>
      <c r="Q89" t="s">
        <v>880</v>
      </c>
      <c r="U89" t="s">
        <v>984</v>
      </c>
      <c r="V89" t="s">
        <v>985</v>
      </c>
    </row>
    <row r="90" spans="1:22">
      <c r="A90">
        <v>89</v>
      </c>
      <c r="B90" t="s">
        <v>106</v>
      </c>
      <c r="C90" t="s">
        <v>294</v>
      </c>
      <c r="D90" t="s">
        <v>420</v>
      </c>
      <c r="I90">
        <v>59800</v>
      </c>
      <c r="K90" t="s">
        <v>514</v>
      </c>
      <c r="L90">
        <f>HYPERLINK("https://maps.cookcountyil.gov/cookviewer/?search=5956 N HERMITAGE AVE", "5956 N HERMITAGE AVE")</f>
        <v>0</v>
      </c>
      <c r="N90" t="s">
        <v>614</v>
      </c>
      <c r="P90" t="s">
        <v>698</v>
      </c>
      <c r="Q90" t="s">
        <v>881</v>
      </c>
      <c r="U90">
        <f>HYPERLINK("https://www.cookcountyassessoril.gov/pin/14064000190000", "14-06-400-019-0000")</f>
        <v>0</v>
      </c>
      <c r="V90" t="s">
        <v>986</v>
      </c>
    </row>
    <row r="91" spans="1:22">
      <c r="A91">
        <v>90</v>
      </c>
      <c r="B91" t="s">
        <v>107</v>
      </c>
      <c r="C91" t="s">
        <v>295</v>
      </c>
      <c r="D91" t="s">
        <v>424</v>
      </c>
      <c r="I91">
        <v>713000</v>
      </c>
      <c r="K91" t="s">
        <v>515</v>
      </c>
      <c r="L91">
        <f>HYPERLINK("https://maps.cookcountyil.gov/cookviewer/?search=10133 S HALSTED ST", "10133 S HALSTED ST")</f>
        <v>0</v>
      </c>
      <c r="N91" t="s">
        <v>614</v>
      </c>
      <c r="P91" t="s">
        <v>699</v>
      </c>
      <c r="Q91" t="s">
        <v>882</v>
      </c>
      <c r="U91">
        <f>HYPERLINK("https://www.cookcountyassessoril.gov/pin/25093160140000", "25-09-316-014-0000")</f>
        <v>0</v>
      </c>
      <c r="V91" t="s">
        <v>986</v>
      </c>
    </row>
    <row r="92" spans="1:22">
      <c r="A92">
        <v>91</v>
      </c>
      <c r="B92" t="s">
        <v>108</v>
      </c>
      <c r="C92" t="s">
        <v>296</v>
      </c>
      <c r="D92" t="s">
        <v>407</v>
      </c>
      <c r="I92">
        <v>10000</v>
      </c>
      <c r="K92" t="s">
        <v>516</v>
      </c>
      <c r="L92">
        <f>HYPERLINK("https://maps.cookcountyil.gov/cookviewer/?search=1950 N BURLING ST", "1950 N BURLING ST")</f>
        <v>0</v>
      </c>
      <c r="N92" t="s">
        <v>614</v>
      </c>
      <c r="P92" t="s">
        <v>700</v>
      </c>
      <c r="Q92" t="s">
        <v>883</v>
      </c>
      <c r="U92">
        <f>HYPERLINK("https://www.cookcountyassessoril.gov/pin/14333000480000", "14-33-300-048-0000")</f>
        <v>0</v>
      </c>
      <c r="V92" t="s">
        <v>985</v>
      </c>
    </row>
    <row r="93" spans="1:22">
      <c r="A93">
        <v>92</v>
      </c>
      <c r="B93" t="s">
        <v>109</v>
      </c>
      <c r="C93" t="s">
        <v>297</v>
      </c>
      <c r="D93" t="s">
        <v>424</v>
      </c>
      <c r="I93">
        <v>23322</v>
      </c>
      <c r="K93" t="s">
        <v>517</v>
      </c>
      <c r="L93">
        <f>HYPERLINK("https://maps.cookcountyil.gov/cookviewer/?search=10612 S MILLARD AVE", "10612 S MILLARD AVE")</f>
        <v>0</v>
      </c>
      <c r="N93" t="s">
        <v>614</v>
      </c>
      <c r="P93" t="s">
        <v>701</v>
      </c>
      <c r="Q93" t="s">
        <v>884</v>
      </c>
      <c r="U93">
        <f>HYPERLINK("https://www.cookcountyassessoril.gov/pin/24141132300000", "24-14-113-230-0000")</f>
        <v>0</v>
      </c>
      <c r="V93" t="s">
        <v>986</v>
      </c>
    </row>
    <row r="94" spans="1:22">
      <c r="A94">
        <v>93</v>
      </c>
      <c r="B94" t="s">
        <v>110</v>
      </c>
      <c r="C94" t="s">
        <v>298</v>
      </c>
      <c r="D94" t="s">
        <v>407</v>
      </c>
      <c r="I94">
        <v>10000</v>
      </c>
      <c r="K94" t="s">
        <v>518</v>
      </c>
      <c r="L94">
        <f>HYPERLINK("https://maps.cookcountyil.gov/cookviewer/?search=2202 S HALSTED ST", "2202 S HALSTED ST")</f>
        <v>0</v>
      </c>
      <c r="N94" t="s">
        <v>614</v>
      </c>
      <c r="P94" t="s">
        <v>702</v>
      </c>
      <c r="Q94" t="s">
        <v>885</v>
      </c>
      <c r="U94">
        <f>HYPERLINK("https://www.cookcountyassessoril.gov/pin/17292010180000", "17-29-201-018-0000")</f>
        <v>0</v>
      </c>
      <c r="V94" t="s">
        <v>985</v>
      </c>
    </row>
    <row r="95" spans="1:22">
      <c r="A95">
        <v>94</v>
      </c>
      <c r="B95" t="s">
        <v>111</v>
      </c>
      <c r="C95" t="s">
        <v>299</v>
      </c>
      <c r="D95" t="s">
        <v>427</v>
      </c>
      <c r="I95">
        <v>10000</v>
      </c>
      <c r="K95" t="s">
        <v>519</v>
      </c>
      <c r="L95">
        <f>HYPERLINK("https://maps.cookcountyil.gov/cookviewer/?search=2610 N HALSTED ST", "2610 N HALSTED ST")</f>
        <v>0</v>
      </c>
      <c r="N95" t="s">
        <v>614</v>
      </c>
      <c r="P95" t="s">
        <v>703</v>
      </c>
      <c r="Q95" t="s">
        <v>886</v>
      </c>
      <c r="U95" t="s">
        <v>984</v>
      </c>
      <c r="V95" t="s">
        <v>985</v>
      </c>
    </row>
    <row r="96" spans="1:22">
      <c r="A96">
        <v>95</v>
      </c>
      <c r="B96" t="s">
        <v>112</v>
      </c>
      <c r="C96" t="s">
        <v>300</v>
      </c>
      <c r="D96" t="s">
        <v>425</v>
      </c>
      <c r="I96">
        <v>28180</v>
      </c>
      <c r="K96" t="s">
        <v>520</v>
      </c>
      <c r="L96">
        <f>HYPERLINK("https://maps.cookcountyil.gov/cookviewer/?search=9131 S LOOMIS ST", "9131 S LOOMIS ST")</f>
        <v>0</v>
      </c>
      <c r="N96" t="s">
        <v>614</v>
      </c>
      <c r="P96" t="s">
        <v>704</v>
      </c>
      <c r="Q96" t="s">
        <v>887</v>
      </c>
      <c r="U96">
        <f>HYPERLINK("https://www.cookcountyassessoril.gov/pin/25053040110000", "25-05-304-011-0000")</f>
        <v>0</v>
      </c>
      <c r="V96" t="s">
        <v>986</v>
      </c>
    </row>
    <row r="97" spans="1:22">
      <c r="A97">
        <v>96</v>
      </c>
      <c r="B97" t="s">
        <v>113</v>
      </c>
      <c r="C97" t="s">
        <v>301</v>
      </c>
      <c r="D97" t="s">
        <v>424</v>
      </c>
      <c r="I97">
        <v>19347</v>
      </c>
      <c r="K97" t="s">
        <v>521</v>
      </c>
      <c r="L97">
        <f>HYPERLINK("https://maps.cookcountyil.gov/cookviewer/?search=10045 S PEORIA ST", "10045 S PEORIA ST")</f>
        <v>0</v>
      </c>
      <c r="N97" t="s">
        <v>614</v>
      </c>
      <c r="P97" t="s">
        <v>705</v>
      </c>
      <c r="Q97" t="s">
        <v>888</v>
      </c>
      <c r="U97">
        <f>HYPERLINK("https://www.cookcountyassessoril.gov/pin/25084140140000", "25-08-414-014-0000")</f>
        <v>0</v>
      </c>
      <c r="V97" t="s">
        <v>986</v>
      </c>
    </row>
    <row r="98" spans="1:22">
      <c r="A98">
        <v>97</v>
      </c>
      <c r="B98" t="s">
        <v>108</v>
      </c>
      <c r="C98" t="s">
        <v>302</v>
      </c>
      <c r="D98" t="s">
        <v>411</v>
      </c>
      <c r="I98">
        <v>10000</v>
      </c>
      <c r="K98" t="s">
        <v>516</v>
      </c>
      <c r="L98">
        <f>HYPERLINK("https://maps.cookcountyil.gov/cookviewer/?search=1950 N BURLING ST", "1950 N BURLING ST")</f>
        <v>0</v>
      </c>
      <c r="N98" t="s">
        <v>614</v>
      </c>
      <c r="P98" t="s">
        <v>700</v>
      </c>
      <c r="Q98" t="s">
        <v>889</v>
      </c>
      <c r="U98">
        <f>HYPERLINK("https://www.cookcountyassessoril.gov/pin/14333000480000", "14-33-300-048-0000")</f>
        <v>0</v>
      </c>
      <c r="V98" t="s">
        <v>985</v>
      </c>
    </row>
    <row r="99" spans="1:22">
      <c r="A99">
        <v>98</v>
      </c>
      <c r="B99" t="s">
        <v>114</v>
      </c>
      <c r="C99" t="s">
        <v>303</v>
      </c>
      <c r="D99" t="s">
        <v>425</v>
      </c>
      <c r="I99">
        <v>35731</v>
      </c>
      <c r="K99" t="s">
        <v>522</v>
      </c>
      <c r="L99">
        <f>HYPERLINK("https://maps.cookcountyil.gov/cookviewer/?search=4824 W MONROE ST", "4824 W MONROE ST")</f>
        <v>0</v>
      </c>
      <c r="N99" t="s">
        <v>614</v>
      </c>
      <c r="P99" t="s">
        <v>706</v>
      </c>
      <c r="Q99" t="s">
        <v>890</v>
      </c>
      <c r="U99" t="s">
        <v>984</v>
      </c>
      <c r="V99" t="s">
        <v>986</v>
      </c>
    </row>
    <row r="100" spans="1:22">
      <c r="A100">
        <v>99</v>
      </c>
      <c r="B100" t="s">
        <v>115</v>
      </c>
      <c r="C100" t="s">
        <v>304</v>
      </c>
      <c r="D100" t="s">
        <v>412</v>
      </c>
      <c r="I100">
        <v>1400</v>
      </c>
      <c r="K100" t="s">
        <v>523</v>
      </c>
      <c r="L100">
        <f>HYPERLINK("https://maps.cookcountyil.gov/cookviewer/?search=533 W 129TH PL", "533 W 129TH PL")</f>
        <v>0</v>
      </c>
      <c r="N100" t="s">
        <v>614</v>
      </c>
      <c r="P100" t="s">
        <v>707</v>
      </c>
      <c r="Q100" t="s">
        <v>891</v>
      </c>
      <c r="U100">
        <f>HYPERLINK("https://www.cookcountyassessoril.gov/pin/25331170760000", "25-33-117-076-0000")</f>
        <v>0</v>
      </c>
      <c r="V100" t="s">
        <v>985</v>
      </c>
    </row>
    <row r="101" spans="1:22">
      <c r="A101">
        <v>100</v>
      </c>
      <c r="B101" t="s">
        <v>116</v>
      </c>
      <c r="C101" t="s">
        <v>305</v>
      </c>
      <c r="D101" t="s">
        <v>412</v>
      </c>
      <c r="I101">
        <v>58000</v>
      </c>
      <c r="K101" t="s">
        <v>524</v>
      </c>
      <c r="L101">
        <f>HYPERLINK("https://maps.cookcountyil.gov/cookviewer/?search=1139 N KARLOV AVE", "1139 N KARLOV AVE")</f>
        <v>0</v>
      </c>
      <c r="N101" t="s">
        <v>614</v>
      </c>
      <c r="P101" t="s">
        <v>708</v>
      </c>
      <c r="Q101" t="s">
        <v>892</v>
      </c>
      <c r="U101">
        <f>HYPERLINK("https://www.cookcountyassessoril.gov/pin/16034060070000", "16-03-406-007-0000")</f>
        <v>0</v>
      </c>
      <c r="V101" t="s">
        <v>985</v>
      </c>
    </row>
    <row r="102" spans="1:22">
      <c r="A102">
        <v>101</v>
      </c>
      <c r="B102" t="s">
        <v>117</v>
      </c>
      <c r="C102" t="s">
        <v>306</v>
      </c>
      <c r="D102" t="s">
        <v>424</v>
      </c>
      <c r="I102">
        <v>800</v>
      </c>
      <c r="K102" t="s">
        <v>525</v>
      </c>
      <c r="L102">
        <f>HYPERLINK("https://maps.cookcountyil.gov/cookviewer/?search=11247 S TALMAN AVE", "11247 S TALMAN AVE")</f>
        <v>0</v>
      </c>
      <c r="N102" t="s">
        <v>614</v>
      </c>
      <c r="P102" t="s">
        <v>709</v>
      </c>
      <c r="Q102" t="s">
        <v>893</v>
      </c>
      <c r="U102">
        <f>HYPERLINK("https://www.cookcountyassessoril.gov/pin/24242110100000", "24-24-211-010-0000")</f>
        <v>0</v>
      </c>
      <c r="V102" t="s">
        <v>985</v>
      </c>
    </row>
    <row r="103" spans="1:22">
      <c r="A103">
        <v>102</v>
      </c>
      <c r="B103" t="s">
        <v>118</v>
      </c>
      <c r="C103" t="s">
        <v>307</v>
      </c>
      <c r="D103" t="s">
        <v>422</v>
      </c>
      <c r="I103">
        <v>10000</v>
      </c>
      <c r="K103" t="s">
        <v>526</v>
      </c>
      <c r="L103">
        <f>HYPERLINK("https://maps.cookcountyil.gov/cookviewer/?search=5044 N WINCHESTER AVE", "5044 N WINCHESTER AVE")</f>
        <v>0</v>
      </c>
      <c r="N103" t="s">
        <v>614</v>
      </c>
      <c r="P103" t="s">
        <v>710</v>
      </c>
      <c r="Q103" t="s">
        <v>894</v>
      </c>
      <c r="U103">
        <f>HYPERLINK("https://www.cookcountyassessoril.gov/pin/14074050170000", "14-07-405-017-0000")</f>
        <v>0</v>
      </c>
      <c r="V103" t="s">
        <v>985</v>
      </c>
    </row>
    <row r="104" spans="1:22">
      <c r="A104">
        <v>103</v>
      </c>
      <c r="B104" t="s">
        <v>119</v>
      </c>
      <c r="C104" t="s">
        <v>308</v>
      </c>
      <c r="D104" t="s">
        <v>408</v>
      </c>
      <c r="I104">
        <v>1500</v>
      </c>
      <c r="K104" t="s">
        <v>527</v>
      </c>
      <c r="L104">
        <f>HYPERLINK("https://maps.cookcountyil.gov/cookviewer/?search=11056 S SANGAMON ST", "11056 S SANGAMON ST")</f>
        <v>0</v>
      </c>
      <c r="N104" t="s">
        <v>614</v>
      </c>
      <c r="P104" t="s">
        <v>711</v>
      </c>
      <c r="Q104" t="s">
        <v>895</v>
      </c>
      <c r="U104">
        <f>HYPERLINK("https://www.cookcountyassessoril.gov/pin/25174210130000", "25-17-421-013-0000")</f>
        <v>0</v>
      </c>
      <c r="V104" t="s">
        <v>985</v>
      </c>
    </row>
    <row r="105" spans="1:22">
      <c r="A105">
        <v>104</v>
      </c>
      <c r="B105" t="s">
        <v>120</v>
      </c>
      <c r="C105" t="s">
        <v>309</v>
      </c>
      <c r="D105" t="s">
        <v>407</v>
      </c>
      <c r="I105">
        <v>50000</v>
      </c>
      <c r="K105" t="s">
        <v>528</v>
      </c>
      <c r="L105">
        <f>HYPERLINK("https://maps.cookcountyil.gov/cookviewer/?search=800 W FULTON MARKET", "800 W FULTON MARKET")</f>
        <v>0</v>
      </c>
      <c r="N105" t="s">
        <v>614</v>
      </c>
      <c r="P105" t="s">
        <v>712</v>
      </c>
      <c r="Q105" t="s">
        <v>896</v>
      </c>
      <c r="U105" t="s">
        <v>984</v>
      </c>
      <c r="V105" t="s">
        <v>985</v>
      </c>
    </row>
    <row r="106" spans="1:22">
      <c r="A106">
        <v>105</v>
      </c>
      <c r="B106" t="s">
        <v>121</v>
      </c>
      <c r="C106" t="s">
        <v>310</v>
      </c>
      <c r="D106" t="s">
        <v>407</v>
      </c>
      <c r="I106">
        <v>2400</v>
      </c>
      <c r="K106" t="s">
        <v>529</v>
      </c>
      <c r="L106">
        <f>HYPERLINK("https://maps.cookcountyil.gov/cookviewer/?search=7955 S COLFAX AVE", "7955 S COLFAX AVE")</f>
        <v>0</v>
      </c>
      <c r="N106" t="s">
        <v>614</v>
      </c>
      <c r="P106" t="s">
        <v>713</v>
      </c>
      <c r="Q106" t="s">
        <v>897</v>
      </c>
      <c r="U106">
        <f>HYPERLINK("https://www.cookcountyassessoril.gov/pin/21311040240000", "21-31-104-024-0000")</f>
        <v>0</v>
      </c>
      <c r="V106" t="s">
        <v>985</v>
      </c>
    </row>
    <row r="107" spans="1:22">
      <c r="A107">
        <v>106</v>
      </c>
      <c r="B107" t="s">
        <v>122</v>
      </c>
      <c r="C107" t="s">
        <v>311</v>
      </c>
      <c r="D107" t="s">
        <v>407</v>
      </c>
      <c r="I107">
        <v>2000</v>
      </c>
      <c r="K107" t="s">
        <v>530</v>
      </c>
      <c r="L107">
        <f>HYPERLINK("https://maps.cookcountyil.gov/cookviewer/?search=8454 S MICHIGAN AVE", "8454 S MICHIGAN AVE")</f>
        <v>0</v>
      </c>
      <c r="N107" t="s">
        <v>614</v>
      </c>
      <c r="P107" t="s">
        <v>714</v>
      </c>
      <c r="Q107" t="s">
        <v>898</v>
      </c>
      <c r="U107">
        <f>HYPERLINK("https://www.cookcountyassessoril.gov/pin/20343070390000", "20-34-307-039-0000")</f>
        <v>0</v>
      </c>
      <c r="V107" t="s">
        <v>985</v>
      </c>
    </row>
    <row r="108" spans="1:22">
      <c r="A108">
        <v>107</v>
      </c>
      <c r="B108" t="s">
        <v>123</v>
      </c>
      <c r="C108" t="s">
        <v>312</v>
      </c>
      <c r="D108" t="s">
        <v>414</v>
      </c>
      <c r="I108">
        <v>2500</v>
      </c>
      <c r="K108" t="s">
        <v>531</v>
      </c>
      <c r="L108">
        <f>HYPERLINK("https://maps.cookcountyil.gov/cookviewer/?search=8618 S UNION AVE", "8618 S UNION AVE")</f>
        <v>0</v>
      </c>
      <c r="N108" t="s">
        <v>614</v>
      </c>
      <c r="P108" t="s">
        <v>715</v>
      </c>
      <c r="Q108" t="s">
        <v>899</v>
      </c>
      <c r="U108">
        <f>HYPERLINK("https://www.cookcountyassessoril.gov/pin/20333150250000", "20-33-315-025-0000")</f>
        <v>0</v>
      </c>
      <c r="V108" t="s">
        <v>985</v>
      </c>
    </row>
    <row r="109" spans="1:22">
      <c r="A109">
        <v>108</v>
      </c>
      <c r="B109" t="s">
        <v>124</v>
      </c>
      <c r="C109" t="s">
        <v>313</v>
      </c>
      <c r="D109" t="s">
        <v>407</v>
      </c>
      <c r="I109">
        <v>767</v>
      </c>
      <c r="K109" t="s">
        <v>532</v>
      </c>
      <c r="L109">
        <f>HYPERLINK("https://maps.cookcountyil.gov/cookviewer/?search=8026 S CONSTANCE AVE", "8026 S CONSTANCE AVE")</f>
        <v>0</v>
      </c>
      <c r="N109" t="s">
        <v>614</v>
      </c>
      <c r="P109" t="s">
        <v>716</v>
      </c>
      <c r="Q109" t="s">
        <v>900</v>
      </c>
      <c r="U109">
        <f>HYPERLINK("https://www.cookcountyassessoril.gov/pin/20361070200000", "20-36-107-020-0000")</f>
        <v>0</v>
      </c>
      <c r="V109" t="s">
        <v>985</v>
      </c>
    </row>
    <row r="110" spans="1:22">
      <c r="A110">
        <v>109</v>
      </c>
      <c r="B110" t="s">
        <v>125</v>
      </c>
      <c r="C110" t="s">
        <v>314</v>
      </c>
      <c r="D110" t="s">
        <v>407</v>
      </c>
      <c r="I110">
        <v>44000</v>
      </c>
      <c r="K110" t="s">
        <v>533</v>
      </c>
      <c r="L110">
        <f>HYPERLINK("https://maps.cookcountyil.gov/cookviewer/?search=51 E OHIO ST", "51 E OHIO ST")</f>
        <v>0</v>
      </c>
      <c r="N110" t="s">
        <v>614</v>
      </c>
      <c r="P110" t="s">
        <v>717</v>
      </c>
      <c r="Q110" t="s">
        <v>901</v>
      </c>
      <c r="U110" t="s">
        <v>984</v>
      </c>
      <c r="V110" t="s">
        <v>985</v>
      </c>
    </row>
    <row r="111" spans="1:22">
      <c r="A111">
        <v>110</v>
      </c>
      <c r="B111" t="s">
        <v>126</v>
      </c>
      <c r="C111" t="s">
        <v>315</v>
      </c>
      <c r="D111" t="s">
        <v>407</v>
      </c>
      <c r="I111">
        <v>700</v>
      </c>
      <c r="K111" t="s">
        <v>534</v>
      </c>
      <c r="L111">
        <f>HYPERLINK("https://maps.cookcountyil.gov/cookviewer/?search=6937 S TALMAN AVE", "6937 S TALMAN AVE")</f>
        <v>0</v>
      </c>
      <c r="N111" t="s">
        <v>614</v>
      </c>
      <c r="P111" t="s">
        <v>718</v>
      </c>
      <c r="Q111" t="s">
        <v>902</v>
      </c>
      <c r="U111">
        <f>HYPERLINK("https://www.cookcountyassessoril.gov/pin/19244160190000", "19-24-416-019-0000")</f>
        <v>0</v>
      </c>
      <c r="V111" t="s">
        <v>985</v>
      </c>
    </row>
    <row r="112" spans="1:22">
      <c r="A112">
        <v>111</v>
      </c>
      <c r="B112" t="s">
        <v>127</v>
      </c>
      <c r="C112" t="s">
        <v>316</v>
      </c>
      <c r="D112" t="s">
        <v>414</v>
      </c>
      <c r="I112">
        <v>3600</v>
      </c>
      <c r="K112" t="s">
        <v>535</v>
      </c>
      <c r="L112">
        <f>HYPERLINK("https://maps.cookcountyil.gov/cookviewer/?search=5015 N CENTRAL AVE", "5015 N CENTRAL AVE")</f>
        <v>0</v>
      </c>
      <c r="N112" t="s">
        <v>614</v>
      </c>
      <c r="P112" t="s">
        <v>719</v>
      </c>
      <c r="Q112" t="s">
        <v>903</v>
      </c>
      <c r="U112">
        <f>HYPERLINK("https://www.cookcountyassessoril.gov/pin/13093160480000", "13-09-316-048-0000")</f>
        <v>0</v>
      </c>
      <c r="V112" t="s">
        <v>985</v>
      </c>
    </row>
    <row r="113" spans="1:22">
      <c r="A113">
        <v>112</v>
      </c>
      <c r="B113" t="s">
        <v>128</v>
      </c>
      <c r="C113" t="s">
        <v>317</v>
      </c>
      <c r="D113" t="s">
        <v>407</v>
      </c>
      <c r="I113">
        <v>700</v>
      </c>
      <c r="K113" t="s">
        <v>536</v>
      </c>
      <c r="L113">
        <f>HYPERLINK("https://maps.cookcountyil.gov/cookviewer/?search=223 W 111TH PL", "223 W 111TH PL")</f>
        <v>0</v>
      </c>
      <c r="N113" t="s">
        <v>614</v>
      </c>
      <c r="P113" t="s">
        <v>720</v>
      </c>
      <c r="Q113" t="s">
        <v>902</v>
      </c>
      <c r="U113">
        <f>HYPERLINK("https://www.cookcountyassessoril.gov/pin/25212050120000", "25-21-205-012-0000")</f>
        <v>0</v>
      </c>
      <c r="V113" t="s">
        <v>985</v>
      </c>
    </row>
    <row r="114" spans="1:22">
      <c r="A114">
        <v>113</v>
      </c>
      <c r="B114" t="s">
        <v>129</v>
      </c>
      <c r="C114" t="s">
        <v>318</v>
      </c>
      <c r="D114" t="s">
        <v>421</v>
      </c>
      <c r="I114">
        <v>10000</v>
      </c>
      <c r="K114" t="s">
        <v>537</v>
      </c>
      <c r="L114">
        <f>HYPERLINK("https://maps.cookcountyil.gov/cookviewer/?search=5555 N CUMBERLAND AVE", "5555 N CUMBERLAND AVE")</f>
        <v>0</v>
      </c>
      <c r="N114" t="s">
        <v>614</v>
      </c>
      <c r="P114" t="s">
        <v>721</v>
      </c>
      <c r="Q114" t="s">
        <v>904</v>
      </c>
      <c r="U114">
        <f>HYPERLINK("https://www.cookcountyassessoril.gov/pin/12112000311089", "12-11-200-031-1089")</f>
        <v>0</v>
      </c>
      <c r="V114" t="s">
        <v>986</v>
      </c>
    </row>
    <row r="115" spans="1:22">
      <c r="A115">
        <v>114</v>
      </c>
      <c r="B115" t="s">
        <v>130</v>
      </c>
      <c r="C115" t="s">
        <v>319</v>
      </c>
      <c r="D115" t="s">
        <v>407</v>
      </c>
      <c r="I115">
        <v>2002</v>
      </c>
      <c r="K115" t="s">
        <v>538</v>
      </c>
      <c r="L115">
        <f>HYPERLINK("https://maps.cookcountyil.gov/cookviewer/?search=12100 S STEWART AVE", "12100 S STEWART AVE")</f>
        <v>0</v>
      </c>
      <c r="N115" t="s">
        <v>614</v>
      </c>
      <c r="P115" t="s">
        <v>722</v>
      </c>
      <c r="Q115" t="s">
        <v>819</v>
      </c>
      <c r="U115">
        <f>HYPERLINK("https://www.cookcountyassessoril.gov/pin/25281230180000", "25-28-123-018-0000")</f>
        <v>0</v>
      </c>
      <c r="V115" t="s">
        <v>985</v>
      </c>
    </row>
    <row r="116" spans="1:22">
      <c r="A116">
        <v>115</v>
      </c>
      <c r="B116" t="s">
        <v>131</v>
      </c>
      <c r="C116" t="s">
        <v>320</v>
      </c>
      <c r="D116" t="s">
        <v>408</v>
      </c>
      <c r="I116">
        <v>2000</v>
      </c>
      <c r="K116" t="s">
        <v>539</v>
      </c>
      <c r="L116">
        <f>HYPERLINK("https://maps.cookcountyil.gov/cookviewer/?search=1650 E 79TH ST", "1650 E 79TH ST")</f>
        <v>0</v>
      </c>
      <c r="N116" t="s">
        <v>614</v>
      </c>
      <c r="P116" t="s">
        <v>723</v>
      </c>
      <c r="Q116" t="s">
        <v>905</v>
      </c>
      <c r="U116">
        <f>HYPERLINK("https://www.cookcountyassessoril.gov/pin/20253250350000", "20-25-325-035-0000")</f>
        <v>0</v>
      </c>
      <c r="V116" t="s">
        <v>985</v>
      </c>
    </row>
    <row r="117" spans="1:22">
      <c r="A117">
        <v>116</v>
      </c>
      <c r="B117" t="s">
        <v>132</v>
      </c>
      <c r="C117" t="s">
        <v>321</v>
      </c>
      <c r="D117" t="s">
        <v>412</v>
      </c>
      <c r="I117">
        <v>18225</v>
      </c>
      <c r="K117" t="s">
        <v>540</v>
      </c>
      <c r="L117">
        <f>HYPERLINK("https://maps.cookcountyil.gov/cookviewer/?search=7126 N MELVINA AVE", "7126 N MELVINA AVE")</f>
        <v>0</v>
      </c>
      <c r="N117" t="s">
        <v>614</v>
      </c>
      <c r="P117" t="s">
        <v>724</v>
      </c>
      <c r="Q117" t="s">
        <v>906</v>
      </c>
      <c r="U117">
        <f>HYPERLINK("https://www.cookcountyassessoril.gov/pin/10321280240000", "10-32-128-024-0000")</f>
        <v>0</v>
      </c>
      <c r="V117" t="s">
        <v>986</v>
      </c>
    </row>
    <row r="118" spans="1:22">
      <c r="A118">
        <v>117</v>
      </c>
      <c r="B118" t="s">
        <v>133</v>
      </c>
      <c r="C118" t="s">
        <v>322</v>
      </c>
      <c r="D118" t="s">
        <v>427</v>
      </c>
      <c r="I118">
        <v>10500</v>
      </c>
      <c r="K118" t="s">
        <v>541</v>
      </c>
      <c r="L118">
        <f>HYPERLINK("https://maps.cookcountyil.gov/cookviewer/?search=9360 S BURNSIDE AVE", "9360 S BURNSIDE AVE")</f>
        <v>0</v>
      </c>
      <c r="N118" t="s">
        <v>614</v>
      </c>
      <c r="P118" t="s">
        <v>725</v>
      </c>
      <c r="Q118" t="s">
        <v>907</v>
      </c>
      <c r="U118">
        <f>HYPERLINK("https://www.cookcountyassessoril.gov/pin/25034320140000", "25-03-432-014-0000")</f>
        <v>0</v>
      </c>
      <c r="V118" t="s">
        <v>985</v>
      </c>
    </row>
    <row r="119" spans="1:22">
      <c r="A119">
        <v>118</v>
      </c>
      <c r="B119" t="s">
        <v>134</v>
      </c>
      <c r="C119" t="s">
        <v>323</v>
      </c>
      <c r="D119" t="s">
        <v>411</v>
      </c>
      <c r="I119">
        <v>21500</v>
      </c>
      <c r="K119" t="s">
        <v>542</v>
      </c>
      <c r="L119">
        <f>HYPERLINK("https://maps.cookcountyil.gov/cookviewer/?search=1506 N GREENVIEW AVE", "1506 N GREENVIEW AVE")</f>
        <v>0</v>
      </c>
      <c r="N119" t="s">
        <v>614</v>
      </c>
      <c r="P119" t="s">
        <v>726</v>
      </c>
      <c r="Q119" t="s">
        <v>908</v>
      </c>
      <c r="U119" t="s">
        <v>984</v>
      </c>
      <c r="V119" t="s">
        <v>985</v>
      </c>
    </row>
    <row r="120" spans="1:22">
      <c r="A120">
        <v>119</v>
      </c>
      <c r="B120" t="s">
        <v>135</v>
      </c>
      <c r="C120" t="s">
        <v>324</v>
      </c>
      <c r="D120" t="s">
        <v>410</v>
      </c>
      <c r="I120">
        <v>4009</v>
      </c>
      <c r="K120" t="s">
        <v>543</v>
      </c>
      <c r="L120">
        <f>HYPERLINK("https://maps.cookcountyil.gov/cookviewer/?search=2651 W JEROME ST", "2651 W JEROME ST")</f>
        <v>0</v>
      </c>
      <c r="N120" t="s">
        <v>614</v>
      </c>
      <c r="P120" t="s">
        <v>727</v>
      </c>
      <c r="Q120" t="s">
        <v>909</v>
      </c>
      <c r="U120">
        <f>HYPERLINK("https://www.cookcountyassessoril.gov/pin/10254040020000", "10-25-404-002-0000")</f>
        <v>0</v>
      </c>
      <c r="V120" t="s">
        <v>986</v>
      </c>
    </row>
    <row r="121" spans="1:22">
      <c r="A121">
        <v>120</v>
      </c>
      <c r="B121" t="s">
        <v>136</v>
      </c>
      <c r="C121" t="s">
        <v>325</v>
      </c>
      <c r="D121" t="s">
        <v>411</v>
      </c>
      <c r="I121">
        <v>3602</v>
      </c>
      <c r="K121" t="s">
        <v>544</v>
      </c>
      <c r="L121">
        <f>HYPERLINK("https://maps.cookcountyil.gov/cookviewer/?search=816 W HUBBARD ST", "816 W HUBBARD ST")</f>
        <v>0</v>
      </c>
      <c r="N121" t="s">
        <v>614</v>
      </c>
      <c r="P121" t="s">
        <v>728</v>
      </c>
      <c r="Q121" t="s">
        <v>910</v>
      </c>
      <c r="U121" t="s">
        <v>984</v>
      </c>
      <c r="V121" t="s">
        <v>985</v>
      </c>
    </row>
    <row r="122" spans="1:22">
      <c r="A122">
        <v>121</v>
      </c>
      <c r="B122" t="s">
        <v>137</v>
      </c>
      <c r="C122" t="s">
        <v>326</v>
      </c>
      <c r="D122" t="s">
        <v>407</v>
      </c>
      <c r="I122">
        <v>10500</v>
      </c>
      <c r="K122" t="s">
        <v>545</v>
      </c>
      <c r="L122">
        <f>HYPERLINK("https://maps.cookcountyil.gov/cookviewer/?search=10830 S SACRAMENTO AVE", "10830 S SACRAMENTO AVE")</f>
        <v>0</v>
      </c>
      <c r="N122" t="s">
        <v>614</v>
      </c>
      <c r="P122" t="s">
        <v>725</v>
      </c>
      <c r="Q122" t="s">
        <v>911</v>
      </c>
      <c r="U122">
        <f>HYPERLINK("https://www.cookcountyassessoril.gov/pin/24133070290000", "24-13-307-029-0000")</f>
        <v>0</v>
      </c>
      <c r="V122" t="s">
        <v>985</v>
      </c>
    </row>
    <row r="123" spans="1:22">
      <c r="A123">
        <v>122</v>
      </c>
      <c r="B123" t="s">
        <v>138</v>
      </c>
      <c r="C123" t="s">
        <v>327</v>
      </c>
      <c r="D123" t="s">
        <v>411</v>
      </c>
      <c r="I123">
        <v>16359</v>
      </c>
      <c r="K123" t="s">
        <v>546</v>
      </c>
      <c r="L123">
        <f>HYPERLINK("https://maps.cookcountyil.gov/cookviewer/?search=7101 N MANKATO AVE", "7101 N MANKATO AVE")</f>
        <v>0</v>
      </c>
      <c r="N123" t="s">
        <v>614</v>
      </c>
      <c r="P123" t="s">
        <v>729</v>
      </c>
      <c r="Q123" t="s">
        <v>912</v>
      </c>
      <c r="U123">
        <f>HYPERLINK("https://www.cookcountyassessoril.gov/pin/10321160370000", "10-32-116-037-0000")</f>
        <v>0</v>
      </c>
      <c r="V123" t="s">
        <v>986</v>
      </c>
    </row>
    <row r="124" spans="1:22">
      <c r="A124">
        <v>123</v>
      </c>
      <c r="B124" t="s">
        <v>131</v>
      </c>
      <c r="C124" t="s">
        <v>328</v>
      </c>
      <c r="D124" t="s">
        <v>408</v>
      </c>
      <c r="I124">
        <v>1000</v>
      </c>
      <c r="K124" t="s">
        <v>539</v>
      </c>
      <c r="L124">
        <f>HYPERLINK("https://maps.cookcountyil.gov/cookviewer/?search=1650 E 79TH ST", "1650 E 79TH ST")</f>
        <v>0</v>
      </c>
      <c r="N124" t="s">
        <v>614</v>
      </c>
      <c r="P124" t="s">
        <v>723</v>
      </c>
      <c r="Q124" t="s">
        <v>913</v>
      </c>
      <c r="U124">
        <f>HYPERLINK("https://www.cookcountyassessoril.gov/pin/20253250350000", "20-25-325-035-0000")</f>
        <v>0</v>
      </c>
      <c r="V124" t="s">
        <v>985</v>
      </c>
    </row>
    <row r="125" spans="1:22">
      <c r="A125">
        <v>124</v>
      </c>
      <c r="B125" t="s">
        <v>104</v>
      </c>
      <c r="C125" t="s">
        <v>329</v>
      </c>
      <c r="D125" t="s">
        <v>407</v>
      </c>
      <c r="I125">
        <v>12200</v>
      </c>
      <c r="K125" t="s">
        <v>512</v>
      </c>
      <c r="L125">
        <f>HYPERLINK("https://maps.cookcountyil.gov/cookviewer/?search=8755 W HIGGINS RD", "8755 W HIGGINS RD")</f>
        <v>0</v>
      </c>
      <c r="N125" t="s">
        <v>614</v>
      </c>
      <c r="P125" t="s">
        <v>730</v>
      </c>
      <c r="Q125" t="s">
        <v>914</v>
      </c>
      <c r="U125">
        <f>HYPERLINK("https://www.cookcountyassessoril.gov/pin/12023010160000", "12-02-301-016-0000")</f>
        <v>0</v>
      </c>
      <c r="V125" t="s">
        <v>985</v>
      </c>
    </row>
    <row r="126" spans="1:22">
      <c r="A126">
        <v>125</v>
      </c>
      <c r="B126" t="s">
        <v>139</v>
      </c>
      <c r="C126" t="s">
        <v>330</v>
      </c>
      <c r="D126" t="s">
        <v>407</v>
      </c>
      <c r="I126">
        <v>43830</v>
      </c>
      <c r="K126" t="s">
        <v>547</v>
      </c>
      <c r="L126">
        <f>HYPERLINK("https://maps.cookcountyil.gov/cookviewer/?search=5322 W ROSCOE ST", "5322 W ROSCOE ST")</f>
        <v>0</v>
      </c>
      <c r="N126" t="s">
        <v>614</v>
      </c>
      <c r="P126" t="s">
        <v>731</v>
      </c>
      <c r="Q126" t="s">
        <v>915</v>
      </c>
      <c r="U126">
        <f>HYPERLINK("https://www.cookcountyassessoril.gov/pin/13213130300000", "13-21-313-030-0000")</f>
        <v>0</v>
      </c>
      <c r="V126" t="s">
        <v>986</v>
      </c>
    </row>
    <row r="127" spans="1:22">
      <c r="A127">
        <v>126</v>
      </c>
      <c r="B127" t="s">
        <v>140</v>
      </c>
      <c r="C127" t="s">
        <v>331</v>
      </c>
      <c r="D127" t="s">
        <v>425</v>
      </c>
      <c r="I127">
        <v>35640</v>
      </c>
      <c r="K127" t="s">
        <v>548</v>
      </c>
      <c r="L127">
        <f>HYPERLINK("https://maps.cookcountyil.gov/cookviewer/?search=2441 W GRENSHAW ST", "2441 W GRENSHAW ST")</f>
        <v>0</v>
      </c>
      <c r="N127" t="s">
        <v>614</v>
      </c>
      <c r="P127" t="s">
        <v>732</v>
      </c>
      <c r="Q127" t="s">
        <v>916</v>
      </c>
      <c r="U127">
        <f>HYPERLINK("https://www.cookcountyassessoril.gov/pin/16134270100000", "16-13-427-010-0000")</f>
        <v>0</v>
      </c>
      <c r="V127" t="s">
        <v>986</v>
      </c>
    </row>
    <row r="128" spans="1:22">
      <c r="A128">
        <v>127</v>
      </c>
      <c r="B128" t="s">
        <v>141</v>
      </c>
      <c r="C128" t="s">
        <v>332</v>
      </c>
      <c r="D128" t="s">
        <v>407</v>
      </c>
      <c r="I128">
        <v>36000</v>
      </c>
      <c r="K128" t="s">
        <v>549</v>
      </c>
      <c r="L128">
        <f>HYPERLINK("https://maps.cookcountyil.gov/cookviewer/?search=300 N LA SALLE DR", "300 N LA SALLE DR")</f>
        <v>0</v>
      </c>
      <c r="N128" t="s">
        <v>614</v>
      </c>
      <c r="P128" t="s">
        <v>733</v>
      </c>
      <c r="Q128" t="s">
        <v>917</v>
      </c>
      <c r="U128" t="s">
        <v>984</v>
      </c>
      <c r="V128" t="s">
        <v>985</v>
      </c>
    </row>
    <row r="129" spans="1:22">
      <c r="A129">
        <v>128</v>
      </c>
      <c r="B129" t="s">
        <v>142</v>
      </c>
      <c r="C129" t="s">
        <v>333</v>
      </c>
      <c r="D129" t="s">
        <v>420</v>
      </c>
      <c r="I129">
        <v>18500</v>
      </c>
      <c r="K129" t="s">
        <v>550</v>
      </c>
      <c r="L129">
        <f>HYPERLINK("https://maps.cookcountyil.gov/cookviewer/?search=2252 W CORTEZ ST", "2252 W CORTEZ ST")</f>
        <v>0</v>
      </c>
      <c r="N129" t="s">
        <v>614</v>
      </c>
      <c r="P129" t="s">
        <v>734</v>
      </c>
      <c r="Q129" t="s">
        <v>918</v>
      </c>
      <c r="U129" t="s">
        <v>984</v>
      </c>
      <c r="V129" t="s">
        <v>985</v>
      </c>
    </row>
    <row r="130" spans="1:22">
      <c r="A130">
        <v>129</v>
      </c>
      <c r="B130" t="s">
        <v>143</v>
      </c>
      <c r="C130" t="s">
        <v>334</v>
      </c>
      <c r="D130" t="s">
        <v>407</v>
      </c>
      <c r="I130">
        <v>240072</v>
      </c>
      <c r="K130" t="s">
        <v>551</v>
      </c>
      <c r="L130">
        <f>HYPERLINK("https://maps.cookcountyil.gov/cookviewer/?search=3501 W POTOMAC AVE", "3501 W POTOMAC AVE")</f>
        <v>0</v>
      </c>
      <c r="N130" t="s">
        <v>614</v>
      </c>
      <c r="P130" t="s">
        <v>735</v>
      </c>
      <c r="Q130" t="s">
        <v>919</v>
      </c>
      <c r="U130" t="s">
        <v>984</v>
      </c>
      <c r="V130" t="s">
        <v>986</v>
      </c>
    </row>
    <row r="131" spans="1:22">
      <c r="A131">
        <v>130</v>
      </c>
      <c r="B131" t="s">
        <v>144</v>
      </c>
      <c r="C131" t="s">
        <v>335</v>
      </c>
      <c r="D131" t="s">
        <v>407</v>
      </c>
      <c r="I131">
        <v>37386</v>
      </c>
      <c r="K131" t="s">
        <v>552</v>
      </c>
      <c r="L131">
        <f>HYPERLINK("https://maps.cookcountyil.gov/cookviewer/?search=2743 N NEW ENGLAND AVE", "2743 N NEW ENGLAND AVE")</f>
        <v>0</v>
      </c>
      <c r="N131" t="s">
        <v>614</v>
      </c>
      <c r="P131" t="s">
        <v>736</v>
      </c>
      <c r="Q131" t="s">
        <v>920</v>
      </c>
      <c r="U131">
        <f>HYPERLINK("https://www.cookcountyassessoril.gov/pin/13303060060000", "13-30-306-006-0000")</f>
        <v>0</v>
      </c>
      <c r="V131" t="s">
        <v>986</v>
      </c>
    </row>
    <row r="132" spans="1:22">
      <c r="A132">
        <v>131</v>
      </c>
      <c r="B132" t="s">
        <v>145</v>
      </c>
      <c r="C132" t="s">
        <v>336</v>
      </c>
      <c r="D132" t="s">
        <v>416</v>
      </c>
      <c r="I132">
        <v>44266</v>
      </c>
      <c r="K132" t="s">
        <v>553</v>
      </c>
      <c r="L132">
        <f>HYPERLINK("https://maps.cookcountyil.gov/cookviewer/?search=10409 S ARTESIAN AVE", "10409 S ARTESIAN AVE")</f>
        <v>0</v>
      </c>
      <c r="N132" t="s">
        <v>614</v>
      </c>
      <c r="P132" t="s">
        <v>737</v>
      </c>
      <c r="Q132" t="s">
        <v>921</v>
      </c>
      <c r="U132">
        <f>HYPERLINK("https://www.cookcountyassessoril.gov/pin/24132170030000", "24-13-217-003-0000")</f>
        <v>0</v>
      </c>
      <c r="V132" t="s">
        <v>986</v>
      </c>
    </row>
    <row r="133" spans="1:22">
      <c r="A133">
        <v>132</v>
      </c>
      <c r="B133" t="s">
        <v>146</v>
      </c>
      <c r="C133" t="s">
        <v>337</v>
      </c>
      <c r="D133" t="s">
        <v>411</v>
      </c>
      <c r="I133">
        <v>29928</v>
      </c>
      <c r="K133" t="s">
        <v>554</v>
      </c>
      <c r="L133">
        <f>HYPERLINK("https://maps.cookcountyil.gov/cookviewer/?search=2938 N MELVINA AVE", "2938 N MELVINA AVE")</f>
        <v>0</v>
      </c>
      <c r="N133" t="s">
        <v>614</v>
      </c>
      <c r="P133" t="s">
        <v>738</v>
      </c>
      <c r="Q133" t="s">
        <v>922</v>
      </c>
      <c r="U133">
        <f>HYPERLINK("https://www.cookcountyassessoril.gov/pin/13291160260000", "13-29-116-026-0000")</f>
        <v>0</v>
      </c>
      <c r="V133" t="s">
        <v>986</v>
      </c>
    </row>
    <row r="134" spans="1:22">
      <c r="A134">
        <v>133</v>
      </c>
      <c r="B134" t="s">
        <v>146</v>
      </c>
      <c r="C134" t="s">
        <v>338</v>
      </c>
      <c r="D134" t="s">
        <v>411</v>
      </c>
      <c r="I134">
        <v>4674</v>
      </c>
      <c r="K134" t="s">
        <v>554</v>
      </c>
      <c r="L134">
        <f>HYPERLINK("https://maps.cookcountyil.gov/cookviewer/?search=2938 N MELVINA AVE", "2938 N MELVINA AVE")</f>
        <v>0</v>
      </c>
      <c r="N134" t="s">
        <v>614</v>
      </c>
      <c r="P134" t="s">
        <v>738</v>
      </c>
      <c r="Q134" t="s">
        <v>923</v>
      </c>
      <c r="U134">
        <f>HYPERLINK("https://www.cookcountyassessoril.gov/pin/13291160260000", "13-29-116-026-0000")</f>
        <v>0</v>
      </c>
      <c r="V134" t="s">
        <v>986</v>
      </c>
    </row>
    <row r="135" spans="1:22">
      <c r="A135">
        <v>134</v>
      </c>
      <c r="B135" t="s">
        <v>147</v>
      </c>
      <c r="C135" t="s">
        <v>339</v>
      </c>
      <c r="D135" t="s">
        <v>416</v>
      </c>
      <c r="I135">
        <v>4500</v>
      </c>
      <c r="K135" t="s">
        <v>555</v>
      </c>
      <c r="L135">
        <f>HYPERLINK("https://maps.cookcountyil.gov/cookviewer/?search=5620 W BELMONT AVE", "5620 W BELMONT AVE")</f>
        <v>0</v>
      </c>
      <c r="N135" t="s">
        <v>614</v>
      </c>
      <c r="P135" t="s">
        <v>739</v>
      </c>
      <c r="Q135" t="s">
        <v>924</v>
      </c>
      <c r="U135">
        <f>HYPERLINK("https://www.cookcountyassessoril.gov/pin/13204330220000", "13-20-433-022-0000")</f>
        <v>0</v>
      </c>
      <c r="V135" t="s">
        <v>985</v>
      </c>
    </row>
    <row r="136" spans="1:22">
      <c r="A136">
        <v>135</v>
      </c>
      <c r="B136" t="s">
        <v>146</v>
      </c>
      <c r="C136" t="s">
        <v>340</v>
      </c>
      <c r="D136" t="s">
        <v>425</v>
      </c>
      <c r="I136">
        <v>5620</v>
      </c>
      <c r="K136" t="s">
        <v>554</v>
      </c>
      <c r="L136">
        <f>HYPERLINK("https://maps.cookcountyil.gov/cookviewer/?search=2938 N MELVINA AVE", "2938 N MELVINA AVE")</f>
        <v>0</v>
      </c>
      <c r="N136" t="s">
        <v>614</v>
      </c>
      <c r="P136" t="s">
        <v>738</v>
      </c>
      <c r="Q136" t="s">
        <v>925</v>
      </c>
      <c r="U136">
        <f>HYPERLINK("https://www.cookcountyassessoril.gov/pin/13291160260000", "13-29-116-026-0000")</f>
        <v>0</v>
      </c>
      <c r="V136" t="s">
        <v>985</v>
      </c>
    </row>
    <row r="137" spans="1:22">
      <c r="A137">
        <v>136</v>
      </c>
      <c r="B137" t="s">
        <v>148</v>
      </c>
      <c r="C137" t="s">
        <v>341</v>
      </c>
      <c r="D137" t="s">
        <v>411</v>
      </c>
      <c r="I137">
        <v>5012</v>
      </c>
      <c r="K137" t="s">
        <v>556</v>
      </c>
      <c r="L137">
        <f>HYPERLINK("https://maps.cookcountyil.gov/cookviewer/?search=6511 N CENTRAL AVE", "6511 N CENTRAL AVE")</f>
        <v>0</v>
      </c>
      <c r="N137" t="s">
        <v>614</v>
      </c>
      <c r="P137" t="s">
        <v>740</v>
      </c>
      <c r="Q137" t="s">
        <v>926</v>
      </c>
      <c r="U137">
        <f>HYPERLINK("https://www.cookcountyassessoril.gov/pin/10333240300000", "10-33-324-030-0000")</f>
        <v>0</v>
      </c>
      <c r="V137" t="s">
        <v>985</v>
      </c>
    </row>
    <row r="138" spans="1:22">
      <c r="A138">
        <v>137</v>
      </c>
      <c r="B138" t="s">
        <v>149</v>
      </c>
      <c r="C138" t="s">
        <v>342</v>
      </c>
      <c r="D138" t="s">
        <v>407</v>
      </c>
      <c r="I138">
        <v>100</v>
      </c>
      <c r="K138" t="s">
        <v>557</v>
      </c>
      <c r="L138">
        <f>HYPERLINK("https://maps.cookcountyil.gov/cookviewer/?search=2159 N LONG AVE", "2159 N LONG AVE")</f>
        <v>0</v>
      </c>
      <c r="N138" t="s">
        <v>614</v>
      </c>
      <c r="P138" t="s">
        <v>741</v>
      </c>
      <c r="Q138" t="s">
        <v>927</v>
      </c>
      <c r="U138">
        <f>HYPERLINK("https://www.cookcountyassessoril.gov/pin/13331090010000", "13-33-109-001-0000")</f>
        <v>0</v>
      </c>
      <c r="V138" t="s">
        <v>985</v>
      </c>
    </row>
    <row r="139" spans="1:22">
      <c r="A139">
        <v>138</v>
      </c>
      <c r="B139" t="s">
        <v>150</v>
      </c>
      <c r="C139" t="s">
        <v>343</v>
      </c>
      <c r="D139" t="s">
        <v>413</v>
      </c>
      <c r="I139">
        <v>95000</v>
      </c>
      <c r="K139" t="s">
        <v>558</v>
      </c>
      <c r="L139">
        <f>HYPERLINK("https://maps.cookcountyil.gov/cookviewer/?search=503 W GRANT PL", "503 W GRANT PL")</f>
        <v>0</v>
      </c>
      <c r="N139" t="s">
        <v>614</v>
      </c>
      <c r="P139" t="s">
        <v>742</v>
      </c>
      <c r="Q139" t="s">
        <v>928</v>
      </c>
      <c r="U139">
        <f>HYPERLINK("https://www.cookcountyassessoril.gov/pin/14331120310000", "14-33-112-031-0000")</f>
        <v>0</v>
      </c>
      <c r="V139" t="s">
        <v>985</v>
      </c>
    </row>
    <row r="140" spans="1:22">
      <c r="A140">
        <v>139</v>
      </c>
      <c r="B140" t="s">
        <v>151</v>
      </c>
      <c r="C140" t="s">
        <v>344</v>
      </c>
      <c r="D140" t="s">
        <v>407</v>
      </c>
      <c r="I140">
        <v>2078</v>
      </c>
      <c r="K140" t="s">
        <v>559</v>
      </c>
      <c r="L140">
        <f>HYPERLINK("https://maps.cookcountyil.gov/cookviewer/?search=7459 N RIDGE BLVD", "7459 N RIDGE BLVD")</f>
        <v>0</v>
      </c>
      <c r="N140" t="s">
        <v>614</v>
      </c>
      <c r="P140" t="s">
        <v>743</v>
      </c>
      <c r="Q140" t="s">
        <v>929</v>
      </c>
      <c r="U140">
        <f>HYPERLINK("https://www.cookcountyassessoril.gov/pin/11303110030000", "11-30-311-003-0000")</f>
        <v>0</v>
      </c>
      <c r="V140" t="s">
        <v>985</v>
      </c>
    </row>
    <row r="141" spans="1:22">
      <c r="A141">
        <v>140</v>
      </c>
      <c r="B141" t="s">
        <v>152</v>
      </c>
      <c r="C141" t="s">
        <v>345</v>
      </c>
      <c r="D141" t="s">
        <v>411</v>
      </c>
      <c r="I141">
        <v>75000</v>
      </c>
      <c r="K141" t="s">
        <v>560</v>
      </c>
      <c r="L141">
        <f>HYPERLINK("https://maps.cookcountyil.gov/cookviewer/?search=2007 W BYRON ST", "2007 W BYRON ST")</f>
        <v>0</v>
      </c>
      <c r="N141" t="s">
        <v>614</v>
      </c>
      <c r="P141" t="s">
        <v>744</v>
      </c>
      <c r="Q141" t="s">
        <v>930</v>
      </c>
      <c r="U141" t="s">
        <v>984</v>
      </c>
      <c r="V141" t="s">
        <v>986</v>
      </c>
    </row>
    <row r="142" spans="1:22">
      <c r="A142">
        <v>141</v>
      </c>
      <c r="B142" t="s">
        <v>153</v>
      </c>
      <c r="C142" t="s">
        <v>346</v>
      </c>
      <c r="D142" t="s">
        <v>409</v>
      </c>
      <c r="I142">
        <v>178800</v>
      </c>
      <c r="K142" t="s">
        <v>561</v>
      </c>
      <c r="L142">
        <f>HYPERLINK("https://maps.cookcountyil.gov/cookviewer/?search=55 W DELAWARE PL", "55 W DELAWARE PL")</f>
        <v>0</v>
      </c>
      <c r="N142" t="s">
        <v>614</v>
      </c>
      <c r="P142" t="s">
        <v>745</v>
      </c>
      <c r="Q142" t="s">
        <v>931</v>
      </c>
      <c r="U142">
        <f>HYPERLINK("https://www.cookcountyassessoril.gov/pin/17044410241281", "17-04-441-024-1281")</f>
        <v>0</v>
      </c>
      <c r="V142" t="s">
        <v>985</v>
      </c>
    </row>
    <row r="143" spans="1:22">
      <c r="A143">
        <v>142</v>
      </c>
      <c r="B143" t="s">
        <v>154</v>
      </c>
      <c r="C143" t="s">
        <v>347</v>
      </c>
      <c r="D143" t="s">
        <v>418</v>
      </c>
      <c r="I143">
        <v>43000</v>
      </c>
      <c r="K143" t="s">
        <v>562</v>
      </c>
      <c r="L143">
        <f>HYPERLINK("https://maps.cookcountyil.gov/cookviewer/?search=225 E CHICAGO AVE", "225 E CHICAGO AVE")</f>
        <v>0</v>
      </c>
      <c r="N143" t="s">
        <v>614</v>
      </c>
      <c r="P143" t="s">
        <v>746</v>
      </c>
      <c r="Q143" t="s">
        <v>932</v>
      </c>
      <c r="U143">
        <f>HYPERLINK("https://www.cookcountyassessoril.gov/pin/17102000370000", "17-10-200-037-0000"), =HYPERLINK("https://www.cookcountyassessoril.gov/pin/17102000310000", "17-10-200-031-0000"), =HYPERLINK("https://www.cookcountyassessoril.gov/pin/17102000520000", "17-10-200-052-0000"), =HYPERLINK("https://www.cookcountyassessoril.gov/pin/17102000340000", "17-10-200-034-0000"), =HYPERLINK("https://www.cookcountyassessoril.gov/pin/17102000350000", "17-10-200-035-0000"), =HYPERLINK("https://www.cookcountyassessoril.gov/pin/17102000590000", "17-10-200-059-0000"), =HYPERLINK("https://www.cookcountyassessoril.gov/pin/17102000140000", "17-10-200-014-0000"), =HYPERLINK("https://www.cookcountyassessoril.gov/pin/17102000300000", "17-10-200-030-0000"), =HYPERLINK("https://www.cookcountyassessoril.gov/pin/17102000150000", "17-10-200-015-0000"), =HYPERLINK("https://www.cookcountyassessoril.gov/pin/17102000360000", "17-10-200-036-0000"), =HYPERLINK("https://www.cookcountyassessoril.gov/pin/17102000510000", "17-10-200-051-0000"), =HYPERLINK("https://www.cookcountyassessoril.gov/pin/17102000380000", "17-10-200-038-0000"), =HYPERLINK("https://www.cookcountyassessoril.gov/pin/17102000390000", "17-10-200-039-0000"), =HYPERLINK("https://www.cookcountyassessoril.gov/pin/17102000580000", "17-10-200-058-0000")</f>
        <v>0</v>
      </c>
      <c r="V143" t="s">
        <v>985</v>
      </c>
    </row>
    <row r="144" spans="1:22">
      <c r="A144">
        <v>143</v>
      </c>
      <c r="B144" t="s">
        <v>155</v>
      </c>
      <c r="C144" t="s">
        <v>348</v>
      </c>
      <c r="D144" t="s">
        <v>411</v>
      </c>
      <c r="I144">
        <v>6160</v>
      </c>
      <c r="K144" t="s">
        <v>563</v>
      </c>
      <c r="L144">
        <f>HYPERLINK("https://maps.cookcountyil.gov/cookviewer/?search=4819 W ROSEMONT AVE", "4819 W ROSEMONT AVE")</f>
        <v>0</v>
      </c>
      <c r="N144" t="s">
        <v>614</v>
      </c>
      <c r="P144" t="s">
        <v>747</v>
      </c>
      <c r="Q144" t="s">
        <v>933</v>
      </c>
      <c r="U144">
        <f>HYPERLINK("https://www.cookcountyassessoril.gov/pin/13042280570000", "13-04-228-057-0000")</f>
        <v>0</v>
      </c>
      <c r="V144" t="s">
        <v>986</v>
      </c>
    </row>
    <row r="145" spans="1:22">
      <c r="A145">
        <v>144</v>
      </c>
      <c r="B145" t="s">
        <v>156</v>
      </c>
      <c r="C145" t="s">
        <v>349</v>
      </c>
      <c r="D145" t="s">
        <v>408</v>
      </c>
      <c r="I145">
        <v>80334</v>
      </c>
      <c r="K145" t="s">
        <v>564</v>
      </c>
      <c r="L145">
        <f>HYPERLINK("https://maps.cookcountyil.gov/cookviewer/?search=4511 N HERMITAGE AVE", "4511 N HERMITAGE AVE")</f>
        <v>0</v>
      </c>
      <c r="N145" t="s">
        <v>614</v>
      </c>
      <c r="P145" t="s">
        <v>748</v>
      </c>
      <c r="Q145" t="s">
        <v>934</v>
      </c>
      <c r="U145" t="s">
        <v>984</v>
      </c>
      <c r="V145" t="s">
        <v>986</v>
      </c>
    </row>
    <row r="146" spans="1:22">
      <c r="A146">
        <v>145</v>
      </c>
      <c r="B146" t="s">
        <v>157</v>
      </c>
      <c r="C146" t="s">
        <v>350</v>
      </c>
      <c r="D146" t="s">
        <v>411</v>
      </c>
      <c r="I146">
        <v>48000</v>
      </c>
      <c r="K146" t="s">
        <v>565</v>
      </c>
      <c r="L146">
        <f>HYPERLINK("https://maps.cookcountyil.gov/cookviewer/?search=5158 W AGATITE AVE", "5158 W AGATITE AVE")</f>
        <v>0</v>
      </c>
      <c r="N146" t="s">
        <v>614</v>
      </c>
      <c r="P146" t="s">
        <v>749</v>
      </c>
      <c r="Q146" t="s">
        <v>935</v>
      </c>
      <c r="U146">
        <f>HYPERLINK("https://www.cookcountyassessoril.gov/pin/13162230080000", "13-16-223-008-0000")</f>
        <v>0</v>
      </c>
      <c r="V146" t="s">
        <v>985</v>
      </c>
    </row>
    <row r="147" spans="1:22">
      <c r="A147">
        <v>146</v>
      </c>
      <c r="B147" t="s">
        <v>158</v>
      </c>
      <c r="C147" t="s">
        <v>351</v>
      </c>
      <c r="D147" t="s">
        <v>411</v>
      </c>
      <c r="I147">
        <v>38044</v>
      </c>
      <c r="K147" t="s">
        <v>566</v>
      </c>
      <c r="L147">
        <f>HYPERLINK("https://maps.cookcountyil.gov/cookviewer/?search=6221 W GUNNISON ST", "6221 W GUNNISON ST")</f>
        <v>0</v>
      </c>
      <c r="N147" t="s">
        <v>614</v>
      </c>
      <c r="P147" t="s">
        <v>750</v>
      </c>
      <c r="Q147" t="s">
        <v>936</v>
      </c>
      <c r="U147" t="s">
        <v>984</v>
      </c>
      <c r="V147" t="s">
        <v>986</v>
      </c>
    </row>
    <row r="148" spans="1:22">
      <c r="A148">
        <v>147</v>
      </c>
      <c r="B148" t="s">
        <v>158</v>
      </c>
      <c r="C148" t="s">
        <v>352</v>
      </c>
      <c r="D148" t="s">
        <v>411</v>
      </c>
      <c r="I148">
        <v>14800</v>
      </c>
      <c r="K148" t="s">
        <v>566</v>
      </c>
      <c r="L148">
        <f>HYPERLINK("https://maps.cookcountyil.gov/cookviewer/?search=6221 W GUNNISON ST", "6221 W GUNNISON ST")</f>
        <v>0</v>
      </c>
      <c r="N148" t="s">
        <v>614</v>
      </c>
      <c r="P148" t="s">
        <v>750</v>
      </c>
      <c r="Q148" t="s">
        <v>937</v>
      </c>
      <c r="U148" t="s">
        <v>984</v>
      </c>
      <c r="V148" t="s">
        <v>985</v>
      </c>
    </row>
    <row r="149" spans="1:22">
      <c r="A149">
        <v>148</v>
      </c>
      <c r="B149" t="s">
        <v>159</v>
      </c>
      <c r="C149" t="s">
        <v>353</v>
      </c>
      <c r="D149" t="s">
        <v>428</v>
      </c>
      <c r="I149">
        <v>16000</v>
      </c>
      <c r="K149" t="s">
        <v>567</v>
      </c>
      <c r="L149">
        <f>HYPERLINK("https://maps.cookcountyil.gov/cookviewer/?search=3919 W MONROE ST", "3919 W MONROE ST")</f>
        <v>0</v>
      </c>
      <c r="N149" t="s">
        <v>614</v>
      </c>
      <c r="P149" t="s">
        <v>751</v>
      </c>
      <c r="Q149" t="s">
        <v>860</v>
      </c>
      <c r="U149">
        <f>HYPERLINK("https://www.cookcountyassessoril.gov/pin/16141020120000", "16-14-102-012-0000")</f>
        <v>0</v>
      </c>
      <c r="V149" t="s">
        <v>985</v>
      </c>
    </row>
    <row r="150" spans="1:22">
      <c r="A150">
        <v>149</v>
      </c>
      <c r="B150" t="s">
        <v>160</v>
      </c>
      <c r="C150" t="s">
        <v>354</v>
      </c>
      <c r="D150" t="s">
        <v>412</v>
      </c>
      <c r="I150">
        <v>29928</v>
      </c>
      <c r="K150" t="s">
        <v>568</v>
      </c>
      <c r="L150">
        <f>HYPERLINK("https://maps.cookcountyil.gov/cookviewer/?search=5910 W FOSTER AVE", "5910 W FOSTER AVE")</f>
        <v>0</v>
      </c>
      <c r="N150" t="s">
        <v>614</v>
      </c>
      <c r="P150" t="s">
        <v>752</v>
      </c>
      <c r="Q150" t="s">
        <v>938</v>
      </c>
      <c r="U150">
        <f>HYPERLINK("https://www.cookcountyassessoril.gov/pin/13082200330000", "13-08-220-033-0000")</f>
        <v>0</v>
      </c>
      <c r="V150" t="s">
        <v>986</v>
      </c>
    </row>
    <row r="151" spans="1:22">
      <c r="A151">
        <v>150</v>
      </c>
      <c r="B151" t="s">
        <v>161</v>
      </c>
      <c r="C151" t="s">
        <v>355</v>
      </c>
      <c r="D151" t="s">
        <v>428</v>
      </c>
      <c r="I151">
        <v>15000</v>
      </c>
      <c r="K151" t="s">
        <v>569</v>
      </c>
      <c r="L151">
        <f>HYPERLINK("https://maps.cookcountyil.gov/cookviewer/?search=4418 N CALIFORNIA AVE", "4418 N CALIFORNIA AVE")</f>
        <v>0</v>
      </c>
      <c r="N151" t="s">
        <v>614</v>
      </c>
      <c r="P151" t="s">
        <v>753</v>
      </c>
      <c r="Q151" t="s">
        <v>860</v>
      </c>
      <c r="U151">
        <f>HYPERLINK("https://www.cookcountyassessoril.gov/pin/13131320260000", "13-13-132-026-0000")</f>
        <v>0</v>
      </c>
      <c r="V151" t="s">
        <v>985</v>
      </c>
    </row>
    <row r="152" spans="1:22">
      <c r="A152">
        <v>151</v>
      </c>
      <c r="B152" t="s">
        <v>162</v>
      </c>
      <c r="C152" t="s">
        <v>356</v>
      </c>
      <c r="D152" t="s">
        <v>407</v>
      </c>
      <c r="I152">
        <v>1200</v>
      </c>
      <c r="K152" t="s">
        <v>570</v>
      </c>
      <c r="L152">
        <f>HYPERLINK("https://maps.cookcountyil.gov/cookviewer/?search=3867 S ARCHER AVE", "3867 S ARCHER AVE")</f>
        <v>0</v>
      </c>
      <c r="N152" t="s">
        <v>614</v>
      </c>
      <c r="P152" t="s">
        <v>754</v>
      </c>
      <c r="Q152" t="s">
        <v>939</v>
      </c>
      <c r="U152" t="s">
        <v>984</v>
      </c>
      <c r="V152" t="s">
        <v>985</v>
      </c>
    </row>
    <row r="153" spans="1:22">
      <c r="A153">
        <v>152</v>
      </c>
      <c r="B153" t="s">
        <v>163</v>
      </c>
      <c r="C153" t="s">
        <v>357</v>
      </c>
      <c r="D153" t="s">
        <v>411</v>
      </c>
      <c r="I153">
        <v>22138</v>
      </c>
      <c r="K153" t="s">
        <v>571</v>
      </c>
      <c r="L153">
        <f>HYPERLINK("https://maps.cookcountyil.gov/cookviewer/?search=3762 W MYRICK ST", "3762 W MYRICK ST")</f>
        <v>0</v>
      </c>
      <c r="N153" t="s">
        <v>614</v>
      </c>
      <c r="P153" t="s">
        <v>755</v>
      </c>
      <c r="Q153" t="s">
        <v>940</v>
      </c>
      <c r="U153">
        <f>HYPERLINK("https://www.cookcountyassessoril.gov/pin/19263360630000", "19-26-336-063-0000")</f>
        <v>0</v>
      </c>
      <c r="V153" t="s">
        <v>986</v>
      </c>
    </row>
    <row r="154" spans="1:22">
      <c r="A154">
        <v>153</v>
      </c>
      <c r="B154" t="s">
        <v>163</v>
      </c>
      <c r="C154" t="s">
        <v>358</v>
      </c>
      <c r="D154" t="s">
        <v>411</v>
      </c>
      <c r="I154">
        <v>5000</v>
      </c>
      <c r="K154" t="s">
        <v>571</v>
      </c>
      <c r="L154">
        <f>HYPERLINK("https://maps.cookcountyil.gov/cookviewer/?search=3762 W MYRICK ST", "3762 W MYRICK ST")</f>
        <v>0</v>
      </c>
      <c r="N154" t="s">
        <v>614</v>
      </c>
      <c r="P154" t="s">
        <v>755</v>
      </c>
      <c r="Q154" t="s">
        <v>819</v>
      </c>
      <c r="U154">
        <f>HYPERLINK("https://www.cookcountyassessoril.gov/pin/19263360630000", "19-26-336-063-0000")</f>
        <v>0</v>
      </c>
      <c r="V154" t="s">
        <v>985</v>
      </c>
    </row>
    <row r="155" spans="1:22">
      <c r="A155">
        <v>154</v>
      </c>
      <c r="B155" t="s">
        <v>164</v>
      </c>
      <c r="C155" t="s">
        <v>359</v>
      </c>
      <c r="D155" t="s">
        <v>412</v>
      </c>
      <c r="I155">
        <v>5000</v>
      </c>
      <c r="K155" t="s">
        <v>572</v>
      </c>
      <c r="L155">
        <f>HYPERLINK("https://maps.cookcountyil.gov/cookviewer/?search=6450 N NEWGARD AVE", "6450 N NEWGARD AVE")</f>
        <v>0</v>
      </c>
      <c r="N155" t="s">
        <v>614</v>
      </c>
      <c r="P155" t="s">
        <v>756</v>
      </c>
      <c r="Q155" t="s">
        <v>941</v>
      </c>
      <c r="U155">
        <f>HYPERLINK("https://www.cookcountyassessoril.gov/pin/11323260130000", "11-32-326-013-0000")</f>
        <v>0</v>
      </c>
      <c r="V155" t="s">
        <v>985</v>
      </c>
    </row>
    <row r="156" spans="1:22">
      <c r="A156">
        <v>155</v>
      </c>
      <c r="B156" t="s">
        <v>165</v>
      </c>
      <c r="C156" t="s">
        <v>360</v>
      </c>
      <c r="D156" t="s">
        <v>407</v>
      </c>
      <c r="I156">
        <v>7340</v>
      </c>
      <c r="K156" t="s">
        <v>573</v>
      </c>
      <c r="L156">
        <f>HYPERLINK("https://maps.cookcountyil.gov/cookviewer/?search=4852 N MERRIMAC AVE", "4852 N MERRIMAC AVE")</f>
        <v>0</v>
      </c>
      <c r="N156" t="s">
        <v>614</v>
      </c>
      <c r="P156" t="s">
        <v>757</v>
      </c>
      <c r="Q156" t="s">
        <v>942</v>
      </c>
      <c r="U156">
        <f>HYPERLINK("https://www.cookcountyassessoril.gov/pin/13083180880000", "13-08-318-088-0000")</f>
        <v>0</v>
      </c>
      <c r="V156" t="s">
        <v>985</v>
      </c>
    </row>
    <row r="157" spans="1:22">
      <c r="A157">
        <v>156</v>
      </c>
      <c r="B157" t="s">
        <v>166</v>
      </c>
      <c r="C157" t="s">
        <v>361</v>
      </c>
      <c r="D157" t="s">
        <v>415</v>
      </c>
      <c r="I157">
        <v>25000</v>
      </c>
      <c r="K157" t="s">
        <v>574</v>
      </c>
      <c r="L157">
        <f>HYPERLINK("https://maps.cookcountyil.gov/cookviewer/?search=858 N MOZART ST", "858 N MOZART ST")</f>
        <v>0</v>
      </c>
      <c r="N157" t="s">
        <v>614</v>
      </c>
      <c r="P157" t="s">
        <v>758</v>
      </c>
      <c r="Q157" t="s">
        <v>943</v>
      </c>
      <c r="U157">
        <f>HYPERLINK("https://www.cookcountyassessoril.gov/pin/16013250290000", "16-01-325-029-0000")</f>
        <v>0</v>
      </c>
      <c r="V157" t="s">
        <v>985</v>
      </c>
    </row>
    <row r="158" spans="1:22">
      <c r="A158">
        <v>157</v>
      </c>
      <c r="B158" t="s">
        <v>167</v>
      </c>
      <c r="C158" t="s">
        <v>362</v>
      </c>
      <c r="D158" t="s">
        <v>408</v>
      </c>
      <c r="I158">
        <v>6950</v>
      </c>
      <c r="K158" t="s">
        <v>575</v>
      </c>
      <c r="L158">
        <f>HYPERLINK("https://maps.cookcountyil.gov/cookviewer/?search=2025 W OHIO ST", "2025 W OHIO ST")</f>
        <v>0</v>
      </c>
      <c r="N158" t="s">
        <v>614</v>
      </c>
      <c r="P158" t="s">
        <v>759</v>
      </c>
      <c r="Q158" t="s">
        <v>944</v>
      </c>
      <c r="U158" t="s">
        <v>984</v>
      </c>
      <c r="V158" t="s">
        <v>985</v>
      </c>
    </row>
    <row r="159" spans="1:22">
      <c r="A159">
        <v>158</v>
      </c>
      <c r="B159" t="s">
        <v>168</v>
      </c>
      <c r="C159" t="s">
        <v>363</v>
      </c>
      <c r="D159" t="s">
        <v>412</v>
      </c>
      <c r="I159">
        <v>800</v>
      </c>
      <c r="K159" t="s">
        <v>576</v>
      </c>
      <c r="L159">
        <f>HYPERLINK("https://maps.cookcountyil.gov/cookviewer/?search=2001 S HALSTED ST", "2001 S HALSTED ST")</f>
        <v>0</v>
      </c>
      <c r="N159" t="s">
        <v>614</v>
      </c>
      <c r="P159" t="s">
        <v>760</v>
      </c>
      <c r="Q159" t="s">
        <v>945</v>
      </c>
      <c r="U159">
        <f>HYPERLINK("https://www.cookcountyassessoril.gov/pin/17213140060000", "17-21-314-006-0000")</f>
        <v>0</v>
      </c>
      <c r="V159" t="s">
        <v>985</v>
      </c>
    </row>
    <row r="160" spans="1:22">
      <c r="A160">
        <v>159</v>
      </c>
      <c r="B160" t="s">
        <v>157</v>
      </c>
      <c r="C160" t="s">
        <v>364</v>
      </c>
      <c r="D160" t="s">
        <v>425</v>
      </c>
      <c r="I160">
        <v>11900</v>
      </c>
      <c r="K160" t="s">
        <v>565</v>
      </c>
      <c r="L160">
        <f>HYPERLINK("https://maps.cookcountyil.gov/cookviewer/?search=5158 W AGATITE AVE", "5158 W AGATITE AVE")</f>
        <v>0</v>
      </c>
      <c r="N160" t="s">
        <v>614</v>
      </c>
      <c r="P160" t="s">
        <v>749</v>
      </c>
      <c r="Q160" t="s">
        <v>946</v>
      </c>
      <c r="U160">
        <f>HYPERLINK("https://www.cookcountyassessoril.gov/pin/13162230080000", "13-16-223-008-0000")</f>
        <v>0</v>
      </c>
      <c r="V160" t="s">
        <v>985</v>
      </c>
    </row>
    <row r="161" spans="1:22">
      <c r="A161">
        <v>160</v>
      </c>
      <c r="B161" t="s">
        <v>169</v>
      </c>
      <c r="C161" t="s">
        <v>365</v>
      </c>
      <c r="D161" t="s">
        <v>407</v>
      </c>
      <c r="I161">
        <v>4605</v>
      </c>
      <c r="K161" t="s">
        <v>577</v>
      </c>
      <c r="L161">
        <f>HYPERLINK("https://maps.cookcountyil.gov/cookviewer/?search=5014 N MELVINA AVE", "5014 N MELVINA AVE")</f>
        <v>0</v>
      </c>
      <c r="N161" t="s">
        <v>614</v>
      </c>
      <c r="P161" t="s">
        <v>761</v>
      </c>
      <c r="Q161" t="s">
        <v>947</v>
      </c>
      <c r="U161">
        <f>HYPERLINK("https://www.cookcountyassessoril.gov/pin/13083090250000", "13-08-309-025-0000")</f>
        <v>0</v>
      </c>
      <c r="V161" t="s">
        <v>985</v>
      </c>
    </row>
    <row r="162" spans="1:22">
      <c r="A162">
        <v>161</v>
      </c>
      <c r="B162" t="s">
        <v>170</v>
      </c>
      <c r="C162" t="s">
        <v>366</v>
      </c>
      <c r="D162" t="s">
        <v>425</v>
      </c>
      <c r="I162">
        <v>11900</v>
      </c>
      <c r="K162" t="s">
        <v>578</v>
      </c>
      <c r="L162">
        <f>HYPERLINK("https://maps.cookcountyil.gov/cookviewer/?search=1442 W 105TH ST", "1442 W 105TH ST")</f>
        <v>0</v>
      </c>
      <c r="N162" t="s">
        <v>614</v>
      </c>
      <c r="P162" t="s">
        <v>762</v>
      </c>
      <c r="Q162" t="s">
        <v>948</v>
      </c>
      <c r="U162">
        <f>HYPERLINK("https://www.cookcountyassessoril.gov/pin/25171070190000", "25-17-107-019-0000")</f>
        <v>0</v>
      </c>
      <c r="V162" t="s">
        <v>985</v>
      </c>
    </row>
    <row r="163" spans="1:22">
      <c r="A163">
        <v>162</v>
      </c>
      <c r="B163" t="s">
        <v>171</v>
      </c>
      <c r="C163" t="s">
        <v>367</v>
      </c>
      <c r="D163" t="s">
        <v>420</v>
      </c>
      <c r="I163">
        <v>8000</v>
      </c>
      <c r="K163" t="s">
        <v>579</v>
      </c>
      <c r="L163">
        <f>HYPERLINK("https://maps.cookcountyil.gov/cookviewer/?search=222 S RIVERSIDE PLZ", "222 S RIVERSIDE PLZ")</f>
        <v>0</v>
      </c>
      <c r="N163" t="s">
        <v>614</v>
      </c>
      <c r="P163" t="s">
        <v>763</v>
      </c>
      <c r="Q163" t="s">
        <v>949</v>
      </c>
      <c r="U163">
        <f>HYPERLINK("https://www.cookcountyassessoril.gov/pin/17161150036031", "17-16-115-003-6031"), =HYPERLINK("https://www.cookcountyassessoril.gov/pin/17161150036001", "17-16-115-003-6001"), =HYPERLINK("https://www.cookcountyassessoril.gov/pin/17161150046001", "17-16-115-004-6001")</f>
        <v>0</v>
      </c>
      <c r="V163" t="s">
        <v>985</v>
      </c>
    </row>
    <row r="164" spans="1:22">
      <c r="A164">
        <v>163</v>
      </c>
      <c r="B164" t="s">
        <v>172</v>
      </c>
      <c r="C164" t="s">
        <v>368</v>
      </c>
      <c r="D164" t="s">
        <v>422</v>
      </c>
      <c r="I164">
        <v>1000</v>
      </c>
      <c r="K164" t="s">
        <v>580</v>
      </c>
      <c r="L164">
        <f>HYPERLINK("https://maps.cookcountyil.gov/cookviewer/?search=1435 W TAYLOR ST", "1435 W TAYLOR ST")</f>
        <v>0</v>
      </c>
      <c r="N164" t="s">
        <v>614</v>
      </c>
      <c r="P164" t="s">
        <v>764</v>
      </c>
      <c r="Q164" t="s">
        <v>950</v>
      </c>
      <c r="U164">
        <f>HYPERLINK("https://www.cookcountyassessoril.gov/pin/17173250090000", "17-17-325-009-0000")</f>
        <v>0</v>
      </c>
      <c r="V164" t="s">
        <v>985</v>
      </c>
    </row>
    <row r="165" spans="1:22">
      <c r="A165">
        <v>164</v>
      </c>
      <c r="B165" t="s">
        <v>173</v>
      </c>
      <c r="C165" t="s">
        <v>369</v>
      </c>
      <c r="D165" t="s">
        <v>411</v>
      </c>
      <c r="I165">
        <v>2500</v>
      </c>
      <c r="K165" t="s">
        <v>581</v>
      </c>
      <c r="L165">
        <f>HYPERLINK("https://maps.cookcountyil.gov/cookviewer/?search=7708 W NORTH SHORE AVE", "7708 W NORTH SHORE AVE")</f>
        <v>0</v>
      </c>
      <c r="N165" t="s">
        <v>614</v>
      </c>
      <c r="P165" t="s">
        <v>765</v>
      </c>
      <c r="Q165" t="s">
        <v>951</v>
      </c>
      <c r="U165">
        <f>HYPERLINK("https://www.cookcountyassessoril.gov/pin/09363070390000", "09-36-307-039-0000")</f>
        <v>0</v>
      </c>
      <c r="V165" t="s">
        <v>985</v>
      </c>
    </row>
    <row r="166" spans="1:22">
      <c r="A166">
        <v>165</v>
      </c>
      <c r="B166" t="s">
        <v>174</v>
      </c>
      <c r="C166" t="s">
        <v>370</v>
      </c>
      <c r="D166" t="s">
        <v>429</v>
      </c>
      <c r="I166">
        <v>13500</v>
      </c>
      <c r="K166" t="s">
        <v>582</v>
      </c>
      <c r="L166">
        <f>HYPERLINK("https://maps.cookcountyil.gov/cookviewer/?search=11406 S ST LAWRENCE AVE", "11406 S ST LAWRENCE AVE")</f>
        <v>0</v>
      </c>
      <c r="N166" t="s">
        <v>614</v>
      </c>
      <c r="P166" t="s">
        <v>766</v>
      </c>
      <c r="Q166" t="s">
        <v>952</v>
      </c>
      <c r="U166" t="s">
        <v>984</v>
      </c>
      <c r="V166" t="s">
        <v>985</v>
      </c>
    </row>
    <row r="167" spans="1:22">
      <c r="A167">
        <v>166</v>
      </c>
      <c r="B167" t="s">
        <v>175</v>
      </c>
      <c r="C167" t="s">
        <v>371</v>
      </c>
      <c r="D167" t="s">
        <v>411</v>
      </c>
      <c r="I167">
        <v>10500</v>
      </c>
      <c r="K167" t="s">
        <v>583</v>
      </c>
      <c r="L167">
        <f>HYPERLINK("https://maps.cookcountyil.gov/cookviewer/?search=8337 S CREGIER AVE", "8337 S CREGIER AVE")</f>
        <v>0</v>
      </c>
      <c r="N167" t="s">
        <v>614</v>
      </c>
      <c r="P167" t="s">
        <v>725</v>
      </c>
      <c r="Q167" t="s">
        <v>907</v>
      </c>
      <c r="U167">
        <f>HYPERLINK("https://www.cookcountyassessoril.gov/pin/20363040110000", "20-36-304-011-0000")</f>
        <v>0</v>
      </c>
      <c r="V167" t="s">
        <v>985</v>
      </c>
    </row>
    <row r="168" spans="1:22">
      <c r="A168">
        <v>167</v>
      </c>
      <c r="B168" t="s">
        <v>176</v>
      </c>
      <c r="C168" t="s">
        <v>372</v>
      </c>
      <c r="D168" t="s">
        <v>411</v>
      </c>
      <c r="I168">
        <v>100</v>
      </c>
      <c r="K168" t="s">
        <v>584</v>
      </c>
      <c r="L168">
        <f>HYPERLINK("https://maps.cookcountyil.gov/cookviewer/?search=5639 S ARTESIAN AVE", "5639 S ARTESIAN AVE")</f>
        <v>0</v>
      </c>
      <c r="N168" t="s">
        <v>614</v>
      </c>
      <c r="P168" t="s">
        <v>767</v>
      </c>
      <c r="Q168" t="s">
        <v>794</v>
      </c>
      <c r="U168" t="s">
        <v>984</v>
      </c>
      <c r="V168" t="s">
        <v>985</v>
      </c>
    </row>
    <row r="169" spans="1:22">
      <c r="A169">
        <v>168</v>
      </c>
      <c r="B169" t="s">
        <v>177</v>
      </c>
      <c r="C169" t="s">
        <v>373</v>
      </c>
      <c r="D169" t="s">
        <v>425</v>
      </c>
      <c r="I169">
        <v>3900</v>
      </c>
      <c r="K169" t="s">
        <v>585</v>
      </c>
      <c r="L169">
        <f>HYPERLINK("https://maps.cookcountyil.gov/cookviewer/?search=315 N LOCKWOOD AVE", "315 N LOCKWOOD AVE")</f>
        <v>0</v>
      </c>
      <c r="N169" t="s">
        <v>614</v>
      </c>
      <c r="P169" t="s">
        <v>768</v>
      </c>
      <c r="Q169" t="s">
        <v>953</v>
      </c>
      <c r="U169" t="s">
        <v>984</v>
      </c>
      <c r="V169" t="s">
        <v>985</v>
      </c>
    </row>
    <row r="170" spans="1:22">
      <c r="A170">
        <v>169</v>
      </c>
      <c r="B170" t="s">
        <v>178</v>
      </c>
      <c r="C170" t="s">
        <v>374</v>
      </c>
      <c r="D170" t="s">
        <v>418</v>
      </c>
      <c r="I170">
        <v>16236</v>
      </c>
      <c r="K170" t="s">
        <v>586</v>
      </c>
      <c r="L170">
        <f>HYPERLINK("https://maps.cookcountyil.gov/cookviewer/?search=2544 W MONTROSE AVE", "2544 W MONTROSE AVE")</f>
        <v>0</v>
      </c>
      <c r="N170" t="s">
        <v>614</v>
      </c>
      <c r="P170" t="s">
        <v>769</v>
      </c>
      <c r="Q170" t="s">
        <v>954</v>
      </c>
      <c r="U170">
        <f>HYPERLINK("https://www.cookcountyassessoril.gov/pin/13134010470000", "13-13-401-047-0000"), =HYPERLINK("https://www.cookcountyassessoril.gov/pin/13132320350000", "13-13-232-035-0000"), =HYPERLINK("https://www.cookcountyassessoril.gov/pin/13132310360000", "13-13-231-036-0000")</f>
        <v>0</v>
      </c>
      <c r="V170" t="s">
        <v>985</v>
      </c>
    </row>
    <row r="171" spans="1:22">
      <c r="A171">
        <v>170</v>
      </c>
      <c r="B171" t="s">
        <v>179</v>
      </c>
      <c r="C171" t="s">
        <v>375</v>
      </c>
      <c r="D171" t="s">
        <v>411</v>
      </c>
      <c r="I171">
        <v>5000</v>
      </c>
      <c r="K171" t="s">
        <v>587</v>
      </c>
      <c r="L171">
        <f>HYPERLINK("https://maps.cookcountyil.gov/cookviewer/?search=1501 W RANDOLPH ST", "1501 W RANDOLPH ST")</f>
        <v>0</v>
      </c>
      <c r="N171" t="s">
        <v>614</v>
      </c>
      <c r="P171" t="s">
        <v>685</v>
      </c>
      <c r="Q171" t="s">
        <v>955</v>
      </c>
      <c r="U171" t="s">
        <v>984</v>
      </c>
      <c r="V171" t="s">
        <v>985</v>
      </c>
    </row>
    <row r="172" spans="1:22">
      <c r="A172">
        <v>171</v>
      </c>
      <c r="B172" t="s">
        <v>180</v>
      </c>
      <c r="C172" t="s">
        <v>376</v>
      </c>
      <c r="D172" t="s">
        <v>414</v>
      </c>
      <c r="I172">
        <v>2697</v>
      </c>
      <c r="K172" t="s">
        <v>588</v>
      </c>
      <c r="L172">
        <f>HYPERLINK("https://maps.cookcountyil.gov/cookviewer/?search=4704 N HERMITAGE AVE", "4704 N HERMITAGE AVE")</f>
        <v>0</v>
      </c>
      <c r="N172" t="s">
        <v>614</v>
      </c>
      <c r="P172" t="s">
        <v>719</v>
      </c>
      <c r="Q172" t="s">
        <v>956</v>
      </c>
      <c r="U172">
        <f>HYPERLINK("https://www.cookcountyassessoril.gov/pin/14182030340000", "14-18-203-034-0000")</f>
        <v>0</v>
      </c>
      <c r="V172" t="s">
        <v>985</v>
      </c>
    </row>
    <row r="173" spans="1:22">
      <c r="A173">
        <v>172</v>
      </c>
      <c r="B173" t="s">
        <v>181</v>
      </c>
      <c r="C173" t="s">
        <v>377</v>
      </c>
      <c r="D173" t="s">
        <v>411</v>
      </c>
      <c r="I173">
        <v>96000</v>
      </c>
      <c r="K173" t="s">
        <v>589</v>
      </c>
      <c r="L173">
        <f>HYPERLINK("https://maps.cookcountyil.gov/cookviewer/?search=4300 W FERDINAND ST", "4300 W FERDINAND ST")</f>
        <v>0</v>
      </c>
      <c r="N173" t="s">
        <v>614</v>
      </c>
      <c r="P173" t="s">
        <v>770</v>
      </c>
      <c r="Q173" t="s">
        <v>957</v>
      </c>
      <c r="U173">
        <f>HYPERLINK("https://www.cookcountyassessoril.gov/pin/16102010040000", "16-10-201-004-0000")</f>
        <v>0</v>
      </c>
      <c r="V173" t="s">
        <v>985</v>
      </c>
    </row>
    <row r="174" spans="1:22">
      <c r="A174">
        <v>173</v>
      </c>
      <c r="B174" t="s">
        <v>71</v>
      </c>
      <c r="C174" t="s">
        <v>378</v>
      </c>
      <c r="D174" t="s">
        <v>415</v>
      </c>
      <c r="I174">
        <v>4921</v>
      </c>
      <c r="K174" t="s">
        <v>479</v>
      </c>
      <c r="L174">
        <f>HYPERLINK("https://maps.cookcountyil.gov/cookviewer/?search=1321 W BIRCHWOOD AVE", "1321 W BIRCHWOOD AVE")</f>
        <v>0</v>
      </c>
      <c r="N174" t="s">
        <v>614</v>
      </c>
      <c r="P174" t="s">
        <v>771</v>
      </c>
      <c r="Q174" t="s">
        <v>958</v>
      </c>
      <c r="U174" t="s">
        <v>984</v>
      </c>
      <c r="V174" t="s">
        <v>985</v>
      </c>
    </row>
    <row r="175" spans="1:22">
      <c r="A175">
        <v>174</v>
      </c>
      <c r="B175" t="s">
        <v>182</v>
      </c>
      <c r="C175" t="s">
        <v>379</v>
      </c>
      <c r="D175" t="s">
        <v>422</v>
      </c>
      <c r="I175">
        <v>4000</v>
      </c>
      <c r="K175" t="s">
        <v>590</v>
      </c>
      <c r="L175">
        <f>HYPERLINK("https://maps.cookcountyil.gov/cookviewer/?search=7118 N ODELL AVE", "7118 N ODELL AVE")</f>
        <v>0</v>
      </c>
      <c r="N175" t="s">
        <v>614</v>
      </c>
      <c r="P175" t="s">
        <v>719</v>
      </c>
      <c r="Q175" t="s">
        <v>956</v>
      </c>
      <c r="U175">
        <f>HYPERLINK("https://www.cookcountyassessoril.gov/pin/09362030390000", "09-36-203-039-0000")</f>
        <v>0</v>
      </c>
      <c r="V175" t="s">
        <v>985</v>
      </c>
    </row>
    <row r="176" spans="1:22">
      <c r="A176">
        <v>175</v>
      </c>
      <c r="B176" t="s">
        <v>183</v>
      </c>
      <c r="C176" t="s">
        <v>380</v>
      </c>
      <c r="D176" t="s">
        <v>412</v>
      </c>
      <c r="I176">
        <v>41300</v>
      </c>
      <c r="K176" t="s">
        <v>591</v>
      </c>
      <c r="L176">
        <f>HYPERLINK("https://maps.cookcountyil.gov/cookviewer/?search=154 W ERIE ST", "154 W ERIE ST")</f>
        <v>0</v>
      </c>
      <c r="N176" t="s">
        <v>614</v>
      </c>
      <c r="P176" t="s">
        <v>772</v>
      </c>
      <c r="Q176" t="s">
        <v>959</v>
      </c>
      <c r="U176">
        <f>HYPERLINK("https://www.cookcountyassessoril.gov/pin/17092170090000", "17-09-217-009-0000")</f>
        <v>0</v>
      </c>
      <c r="V176" t="s">
        <v>985</v>
      </c>
    </row>
    <row r="177" spans="1:22">
      <c r="A177">
        <v>176</v>
      </c>
      <c r="B177" t="s">
        <v>184</v>
      </c>
      <c r="C177" t="s">
        <v>381</v>
      </c>
      <c r="D177" t="s">
        <v>410</v>
      </c>
      <c r="I177">
        <v>488550</v>
      </c>
      <c r="K177" t="s">
        <v>592</v>
      </c>
      <c r="L177">
        <f>HYPERLINK("https://maps.cookcountyil.gov/cookviewer/?search=6157 N SHERIDAN RD", "6157 N SHERIDAN RD")</f>
        <v>0</v>
      </c>
      <c r="N177" t="s">
        <v>614</v>
      </c>
      <c r="P177" t="s">
        <v>773</v>
      </c>
      <c r="Q177" t="s">
        <v>960</v>
      </c>
      <c r="U177">
        <f>HYPERLINK("https://www.cookcountyassessoril.gov/pin/14052110241002", "14-05-211-024-1002"), =HYPERLINK("https://www.cookcountyassessoril.gov/pin/14052110241015", "14-05-211-024-1015"), =HYPERLINK("https://www.cookcountyassessoril.gov/pin/14052110241047", "14-05-211-024-1047"), =HYPERLINK("https://www.cookcountyassessoril.gov/pin/14052110241166", "14-05-211-024-1166"), =HYPERLINK("https://www.cookcountyassessoril.gov/pin/14052110241246", "14-05-211-024-1246"), =HYPERLINK("https://www.cookcountyassessoril.gov/pin/14052110241025", "14-05-211-024-1025"), =HYPERLINK("https://www.cookcountyassessoril.gov/pin/14052110241040", "14-05-211-024-1040"), =HYPERLINK("https://www.cookcountyassessoril.gov/pin/14052110241110", "14-05-211-024-1110"), =HYPERLINK("https://www.cookcountyassessoril.gov/pin/14052110241089", "14-05-211-024-1089"), =HYPERLINK("https://www.cookcountyassessoril.gov/pin/14052110241098", "14-05-211-024-1098"), =HYPERLINK("https://www.cookcountyassessoril.gov/pin/14052110241150", "14-05-211-024-1150"), =HYPERLINK("https://www.cookcountyassessoril.gov/pin/14052110241158", "14-05-211-024-1158"), =HYPERLINK("https://www.cookcountyassessoril.gov/pin/14052110241208", "14-05-211-024-1208"), =HYPERLINK("https://www.cookcountyassessoril.gov/pin/14052110241226", "14-05-211-024-1226"), =HYPERLINK("https://www.cookcountyassessoril.gov/pin/14052110241261", "14-05-211-024-1261"), =HYPERLINK("https://www.cookcountyassessoril.gov/pin/14052110241153", "14-05-211-024-1153"), =HYPERLINK("https://www.cookcountyassessoril.gov/pin/14052110241265", "14-05-211-024-1265"), =HYPERLINK("https://www.cookcountyassessoril.gov/pin/14052110241220", "14-05-211-024-1220"), =HYPERLINK("https://www.cookcountyassessoril.gov/pin/14052110241056", "14-05-211-024-1056"), =HYPERLINK("https://www.cookcountyassessoril.gov/pin/14052110241067", "14-05-211-024-1067"), =HYPERLINK("https://www.cookcountyassessoril.gov/pin/14052110241095", "14-05-211-024-1095"), =HYPERLINK("https://www.cookcountyassessoril.gov/pin/14052110241160", "14-05-211-024-1160"), =HYPERLINK("https://www.cookcountyassessoril.gov/pin/14052110241240", "14-05-211-024-1240"), =HYPERLINK("https://www.cookcountyassessoril.gov/pin/14052110241111", "14-05-211-024-1111"), =HYPERLINK("https://www.cookcountyassessoril.gov/pin/14052110241087", "14-05-211-024-1087"), =HYPERLINK("https://www.cookcountyassessoril.gov/pin/14052110241146", "14-05-211-024-1146"), =HYPERLINK("https://www.cookcountyassessoril.gov/pin/14052110241238", "14-05-211-024-1238"), =HYPERLINK("https://www.cookcountyassessoril.gov/pin/14052110241113", "14-05-211-024-1113"), =HYPERLINK("https://www.cookcountyassessoril.gov/pin/14052110241126", "14-05-211-024-1126"), =HYPERLINK("https://www.cookcountyassessoril.gov/pin/14052110241191", "14-05-211-024-1191"), =HYPERLINK("https://www.cookcountyassessoril.gov/pin/14052110241044", "14-05-211-024-1044"), =HYPERLINK("https://www.cookcountyassessoril.gov/pin/14052110241144", "14-05-211-024-1144"), =HYPERLINK("https://www.cookcountyassessoril.gov/pin/14052110241201", "14-05-211-024-1201"), =HYPERLINK("https://www.cookcountyassessoril.gov/pin/14052110241132", "14-05-211-024-1132"), =HYPERLINK("https://www.cookcountyassessoril.gov/pin/14052110241136", "14-05-211-024-1136"), =HYPERLINK("https://www.cookcountyassessoril.gov/pin/14052110241181", "14-05-211-024-1181"), =HYPERLINK("https://www.cookcountyassessoril.gov/pin/14052110241223", "14-05-211-024-1223"), =HYPERLINK("https://www.cookcountyassessoril.gov/pin/14052110241082", "14-05-211-024-1082"), =HYPERLINK("https://www.cookcountyassessoril.gov/pin/14052110241235", "14-05-211-024-1235"), =HYPERLINK("https://www.cookcountyassessoril.gov/pin/14052110241147", "14-05-211-024-1147"), =HYPERLINK("https://www.cookcountyassessoril.gov/pin/14052110241037", "14-05-211-024-1037"), =HYPERLINK("https://www.cookcountyassessoril.gov/pin/14052110241134", "14-05-211-024-1134"), =HYPERLINK("https://www.cookcountyassessoril.gov/pin/14052110241052", "14-05-211-024-1052"), =HYPERLINK("https://www.cookcountyassessoril.gov/pin/14052110241115", "14-05-211-024-1115"), =HYPERLINK("https://www.cookcountyassessoril.gov/pin/14052110241017", "14-05-211-024-1017"), =HYPERLINK("https://www.cookcountyassessoril.gov/pin/14052110241127", "14-05-211-024-1127"), =HYPERLINK("https://www.cookcountyassessoril.gov/pin/14052110241197", "14-05-211-024-1197"), =HYPERLINK("https://www.cookcountyassessoril.gov/pin/14052110241219", "14-05-211-024-1219"), =HYPERLINK("https://www.cookcountyassessoril.gov/pin/14052110241234", "14-05-211-024-1234"), =HYPERLINK("https://www.cookcountyassessoril.gov/pin/14052110241231", "14-05-211-024-1231"), =HYPERLINK("https://www.cookcountyassessoril.gov/pin/14052110241262", "14-05-211-024-1262"), =HYPERLINK("https://www.cookcountyassessoril.gov/pin/14052110241064", "14-05-211-024-1064"), =HYPERLINK("https://www.cookcountyassessoril.gov/pin/14052110241182", "14-05-211-024-1182"), =HYPERLINK("https://www.cookcountyassessoril.gov/pin/14052110241018", "14-05-211-024-1018"), =HYPERLINK("https://www.cookcountyassessoril.gov/pin/14052110241128", "14-05-211-024-1128"), =HYPERLINK("https://www.cookcountyassessoril.gov/pin/14052110241178", "14-05-211-024-1178"), =HYPERLINK("https://www.cookcountyassessoril.gov/pin/14052110241062", "14-05-211-024-1062"), =HYPERLINK("https://www.cookcountyassessoril.gov/pin/14052110241149", "14-05-211-024-1149"), =HYPERLINK("https://www.cookcountyassessoril.gov/pin/14052110241243", "14-05-211-024-1243"), =HYPERLINK("https://www.cookcountyassessoril.gov/pin/14052110241125", "14-05-211-024-1125"), =HYPERLINK("https://www.cookcountyassessoril.gov/pin/14052110241010", "14-05-211-024-1010"), =HYPERLINK("https://www.cookcountyassessoril.gov/pin/14052110241163", "14-05-211-024-1163"), =HYPERLINK("https://www.cookcountyassessoril.gov/pin/14052110241193", "14-05-211-024-1193"), =HYPERLINK("https://www.cookcountyassessoril.gov/pin/14052110241059", "14-05-211-024-1059"), =HYPERLINK("https://www.cookcountyassessoril.gov/pin/14052110241065", "14-05-211-024-1065"), =HYPERLINK("https://www.cookcountyassessoril.gov/pin/14052110241177", "14-05-211-024-1177"), =HYPERLINK("https://www.cookcountyassessoril.gov/pin/14052110241199", "14-05-211-024-1199"), =HYPERLINK("https://www.cookcountyassessoril.gov/pin/14052110241227", "14-05-211-024-1227"), =HYPERLINK("https://www.cookcountyassessoril.gov/pin/14052110241084", "14-05-211-024-1084"), =HYPERLINK("https://www.cookcountyassessoril.gov/pin/14052110241204", "14-05-211-024-1204"), =HYPERLINK("https://www.cookcountyassessoril.gov/pin/14052110241267", "14-05-211-024-1267"), =HYPERLINK("https://www.cookcountyassessoril.gov/pin/14052110241027", "14-05-211-024-1027"), =HYPERLINK("https://www.cookcountyassessoril.gov/pin/14052110241051", "14-05-211-024-1051"), =HYPERLINK("https://www.cookcountyassessoril.gov/pin/14052110241031", "14-05-211-024-1031"), =HYPERLINK("https://www.cookcountyassessoril.gov/pin/14052110241039", "14-05-211-024-1039"), =HYPERLINK("https://www.cookcountyassessoril.gov/pin/14052110241175", "14-05-211-024-1175"), =HYPERLINK("https://www.cookcountyassessoril.gov/pin/14052110241142", "14-05-211-024-1142"), =HYPERLINK("https://www.cookcountyassessoril.gov/pin/14052110241196", "14-05-211-024-1196"), =HYPERLINK("https://www.cookcountyassessoril.gov/pin/14052110241213", "14-05-211-024-1213"), =HYPERLINK("https://www.cookcountyassessoril.gov/pin/14052110241222", "14-05-211-024-1222"), =HYPERLINK("https://www.cookcountyassessoril.gov/pin/14052110241133", "14-05-211-024-1133"), =HYPERLINK("https://www.cookcountyassessoril.gov/pin/14052110241183", "14-05-211-024-1183"), =HYPERLINK("https://www.cookcountyassessoril.gov/pin/14052110241216", "14-05-211-024-1216"), =HYPERLINK("https://www.cookcountyassessoril.gov/pin/14052110241079", "14-05-211-024-1079"), =HYPERLINK("https://www.cookcountyassessoril.gov/pin/14052110241092", "14-05-211-024-1092"), =HYPERLINK("https://www.cookcountyassessoril.gov/pin/14052110241162", "14-05-211-024-1162"), =HYPERLINK("https://www.cookcountyassessoril.gov/pin/14052110241241", "14-05-211-024-1241"), =HYPERLINK("https://www.cookcountyassessoril.gov/pin/14052110241256", "14-05-211-024-1256"), =HYPERLINK("https://www.cookcountyassessoril.gov/pin/14052110241090", "14-05-211-024-1090"), =HYPERLINK("https://www.cookcountyassessoril.gov/pin/14052110241130", "14-05-211-024-1130"), =HYPERLINK("https://www.cookcountyassessoril.gov/pin/14052110241069", "14-05-211-024-1069"), =HYPERLINK("https://www.cookcountyassessoril.gov/pin/14052110241169", "14-05-211-024-1169"), =HYPERLINK("https://www.cookcountyassessoril.gov/pin/14052110241188", "14-05-211-024-1188"), =HYPERLINK("https://www.cookcountyassessoril.gov/pin/14052110241020", "14-05-211-024-1020"), =HYPERLINK("https://www.cookcountyassessoril.gov/pin/14052110241013", "14-05-211-024-1013"), =HYPERLINK("https://www.cookcountyassessoril.gov/pin/14052110241041", "14-05-211-024-1041"), =HYPERLINK("https://www.cookcountyassessoril.gov/pin/14052110241121", "14-05-211-024-1121"), =HYPERLINK("https://www.cookcountyassessoril.gov/pin/14052110241249", "14-05-211-024-1249"), =HYPERLINK("https://www.cookcountyassessoril.gov/pin/14052110241103", "14-05-211-024-1103"), =HYPERLINK("https://www.cookcountyassessoril.gov/pin/14052110241109", "14-05-211-024-1109"), =HYPERLINK("https://www.cookcountyassessoril.gov/pin/14052110241016", "14-05-211-024-1016"), =HYPERLINK("https://www.cookcountyassessoril.gov/pin/14052110241138", "14-05-211-024-1138"), =HYPERLINK("https://www.cookcountyassessoril.gov/pin/14052110241009", "14-05-211-024-1009"), =HYPERLINK("https://www.cookcountyassessoril.gov/pin/14052110241214", "14-05-211-024-1214"), =HYPERLINK("https://www.cookcountyassessoril.gov/pin/14052110241038", "14-05-211-024-1038"), =HYPERLINK("https://www.cookcountyassessoril.gov/pin/14052110241075", "14-05-211-024-1075"), =HYPERLINK("https://www.cookcountyassessoril.gov/pin/14052110241001", "14-05-211-024-1001"), =HYPERLINK("https://www.cookcountyassessoril.gov/pin/14052110241019", "14-05-211-024-1019"), =HYPERLINK("https://www.cookcountyassessoril.gov/pin/14052110241093", "14-05-211-024-1093"), =HYPERLINK("https://www.cookcountyassessoril.gov/pin/14052110241028", "14-05-211-024-1028"), =HYPERLINK("https://www.cookcountyassessoril.gov/pin/14052110241033", "14-05-211-024-1033"), =HYPERLINK("https://www.cookcountyassessoril.gov/pin/14052110241104", "14-05-211-024-1104"), =HYPERLINK("https://www.cookcountyassessoril.gov/pin/14052110241230", "14-05-211-024-1230"), =HYPERLINK("https://www.cookcountyassessoril.gov/pin/14052110241255", "14-05-211-024-1255"), =HYPERLINK("https://www.cookcountyassessoril.gov/pin/14052110241212", "14-05-211-024-1212"), =HYPERLINK("https://www.cookcountyassessoril.gov/pin/14052110241228", "14-05-211-024-1228"), =HYPERLINK("https://www.cookcountyassessoril.gov/pin/14052110241101", "14-05-211-024-1101"), =HYPERLINK("https://www.cookcountyassessoril.gov/pin/14052110241137", "14-05-211-024-1137"), =HYPERLINK("https://www.cookcountyassessoril.gov/pin/14052110241080", "14-05-211-024-1080"), =HYPERLINK("https://www.cookcountyassessoril.gov/pin/14052110241003", "14-05-211-024-1003"), =HYPERLINK("https://www.cookcountyassessoril.gov/pin/14052110241096", "14-05-211-024-1096"), =HYPERLINK("https://www.cookcountyassessoril.gov/pin/14052110241198", "14-05-211-024-1198"), =HYPERLINK("https://www.cookcountyassessoril.gov/pin/14052110241245", "14-05-211-024-1245"), =HYPERLINK("https://www.cookcountyassessoril.gov/pin/14052110241071", "14-05-211-024-1071"), =HYPERLINK("https://www.cookcountyassessoril.gov/pin/14052110241192", "14-05-211-024-1192"), =HYPERLINK("https://www.cookcountyassessoril.gov/pin/14052110241210", "14-05-211-024-1210"), =HYPERLINK("https://www.cookcountyassessoril.gov/pin/14052110241221", "14-05-211-024-1221"), =HYPERLINK("https://www.cookcountyassessoril.gov/pin/14052110241012", "14-05-211-024-1012"), =HYPERLINK("https://www.cookcountyassessoril.gov/pin/14052110241218", "14-05-211-024-1218"), =HYPERLINK("https://www.cookcountyassessoril.gov/pin/14052110241085", "14-05-211-024-1085"), =HYPERLINK("https://www.cookcountyassessoril.gov/pin/14052110241194", "14-05-211-024-1194"), =HYPERLINK("https://www.cookcountyassessoril.gov/pin/14052110241189", "14-05-211-024-1189"), =HYPERLINK("https://www.cookcountyassessoril.gov/pin/14052110241244", "14-05-211-024-1244"), =HYPERLINK("https://www.cookcountyassessoril.gov/pin/14052110241250", "14-05-211-024-1250"), =HYPERLINK("https://www.cookcountyassessoril.gov/pin/14052110241135", "14-05-211-024-1135"), =HYPERLINK("https://www.cookcountyassessoril.gov/pin/14052110241140", "14-05-211-024-1140"), =HYPERLINK("https://www.cookcountyassessoril.gov/pin/14052110241042", "14-05-211-024-1042"), =HYPERLINK("https://www.cookcountyassessoril.gov/pin/14052110241114", "14-05-211-024-1114"), =HYPERLINK("https://www.cookcountyassessoril.gov/pin/14052110241141", "14-05-211-024-1141"), =HYPERLINK("https://www.cookcountyassessoril.gov/pin/14052110241107", "14-05-211-024-1107"), =HYPERLINK("https://www.cookcountyassessoril.gov/pin/14052110241203", "14-05-211-024-1203"), =HYPERLINK("https://www.cookcountyassessoril.gov/pin/14052110241242", "14-05-211-024-1242"), =HYPERLINK("https://www.cookcountyassessoril.gov/pin/14052110241021", "14-05-211-024-1021"), =HYPERLINK("https://www.cookcountyassessoril.gov/pin/14052110241102", "14-05-211-024-1102"), =HYPERLINK("https://www.cookcountyassessoril.gov/pin/14052110241036", "14-05-211-024-1036"), =HYPERLINK("https://www.cookcountyassessoril.gov/pin/14052110241076", "14-05-211-024-1076"), =HYPERLINK("https://www.cookcountyassessoril.gov/pin/14052110241237", "14-05-211-024-1237"), =HYPERLINK("https://www.cookcountyassessoril.gov/pin/14052110241006", "14-05-211-024-1006"), =HYPERLINK("https://www.cookcountyassessoril.gov/pin/14052110241070", "14-05-211-024-1070"), =HYPERLINK("https://www.cookcountyassessoril.gov/pin/14052110241148", "14-05-211-024-1148"), =HYPERLINK("https://www.cookcountyassessoril.gov/pin/14052110241011", "14-05-211-024-1011"), =HYPERLINK("https://www.cookcountyassessoril.gov/pin/14052110241239", "14-05-211-024-1239"), =HYPERLINK("https://www.cookcountyassessoril.gov/pin/14052110241035", "14-05-211-024-1035"), =HYPERLINK("https://www.cookcountyassessoril.gov/pin/14052110241099", "14-05-211-024-1099"), =HYPERLINK("https://www.cookcountyassessoril.gov/pin/14052110241081", "14-05-211-024-1081"), =HYPERLINK("https://www.cookcountyassessoril.gov/pin/14052110241259", "14-05-211-024-1259"), =HYPERLINK("https://www.cookcountyassessoril.gov/pin/14052110241060", "14-05-211-024-1060"), =HYPERLINK("https://www.cookcountyassessoril.gov/pin/14052110241159", "14-05-211-024-1159"), =HYPERLINK("https://www.cookcountyassessoril.gov/pin/14052110241176", "14-05-211-024-1176"), =HYPERLINK("https://www.cookcountyassessoril.gov/pin/14052110241118", "14-05-211-024-1118"), =HYPERLINK("https://www.cookcountyassessoril.gov/pin/14052110241215", "14-05-211-024-1215"), =HYPERLINK("https://www.cookcountyassessoril.gov/pin/14052110241252", "14-05-211-024-1252"), =HYPERLINK("https://www.cookcountyassessoril.gov/pin/14052110241023", "14-05-211-024-1023"), =HYPERLINK("https://www.cookcountyassessoril.gov/pin/14052110241112", "14-05-211-024-1112"), =HYPERLINK("https://www.cookcountyassessoril.gov/pin/14052110241268", "14-05-211-024-1268"), =HYPERLINK("https://www.cookcountyassessoril.gov/pin/14052110241124", "14-05-211-024-1124"), =HYPERLINK("https://www.cookcountyassessoril.gov/pin/14052110241185", "14-05-211-024-1185"), =HYPERLINK("https://www.cookcountyassessoril.gov/pin/14052110241174", "14-05-211-024-1174"), =HYPERLINK("https://www.cookcountyassessoril.gov/pin/14052110241045", "14-05-211-024-1045"), =HYPERLINK("https://www.cookcountyassessoril.gov/pin/14052110241187", "14-05-211-024-1187"), =HYPERLINK("https://www.cookcountyassessoril.gov/pin/14052110241143", "14-05-211-024-1143"), =HYPERLINK("https://www.cookcountyassessoril.gov/pin/14052110241260", "14-05-211-024-1260"), =HYPERLINK("https://www.cookcountyassessoril.gov/pin/14052110241266", "14-05-211-024-1266"), =HYPERLINK("https://www.cookcountyassessoril.gov/pin/14052110241164", "14-05-211-024-1164"), =HYPERLINK("https://www.cookcountyassessoril.gov/pin/14052110241236", "14-05-211-024-1236"), =HYPERLINK("https://www.cookcountyassessoril.gov/pin/14052110241004", "14-05-211-024-1004"), =HYPERLINK("https://www.cookcountyassessoril.gov/pin/14052110241205", "14-05-211-024-1205"), =HYPERLINK("https://www.cookcountyassessoril.gov/pin/14052110241074", "14-05-211-024-1074"), =HYPERLINK("https://www.cookcountyassessoril.gov/pin/14052110241152", "14-05-211-024-1152"), =HYPERLINK("https://www.cookcountyassessoril.gov/pin/14052110241139", "14-05-211-024-1139"), =HYPERLINK("https://www.cookcountyassessoril.gov/pin/14052110241058", "14-05-211-024-1058"), =HYPERLINK("https://www.cookcountyassessoril.gov/pin/14052110241170", "14-05-211-024-1170"), =HYPERLINK("https://www.cookcountyassessoril.gov/pin/14052110241190", "14-05-211-024-1190"), =HYPERLINK("https://www.cookcountyassessoril.gov/pin/14052110241257", "14-05-211-024-1257"), =HYPERLINK("https://www.cookcountyassessoril.gov/pin/14052110241029", "14-05-211-024-1029"), =HYPERLINK("https://www.cookcountyassessoril.gov/pin/14052110241207", "14-05-211-024-1207"), =HYPERLINK("https://www.cookcountyassessoril.gov/pin/14052110241105", "14-05-211-024-1105"), =HYPERLINK("https://www.cookcountyassessoril.gov/pin/14052110241008", "14-05-211-024-1008"), =HYPERLINK("https://www.cookcountyassessoril.gov/pin/14052110241054", "14-05-211-024-1054"), =HYPERLINK("https://www.cookcountyassessoril.gov/pin/14052110241086", "14-05-211-024-1086"), =HYPERLINK("https://www.cookcountyassessoril.gov/pin/14052110241248", "14-05-211-024-1248")</f>
        <v>0</v>
      </c>
      <c r="V177" t="s">
        <v>985</v>
      </c>
    </row>
    <row r="178" spans="1:22">
      <c r="A178">
        <v>177</v>
      </c>
      <c r="B178" t="s">
        <v>185</v>
      </c>
      <c r="C178" t="s">
        <v>382</v>
      </c>
      <c r="D178" t="s">
        <v>411</v>
      </c>
      <c r="I178">
        <v>700</v>
      </c>
      <c r="K178" t="s">
        <v>593</v>
      </c>
      <c r="L178">
        <f>HYPERLINK("https://maps.cookcountyil.gov/cookviewer/?search=8536 W CARMEN AVE", "8536 W CARMEN AVE")</f>
        <v>0</v>
      </c>
      <c r="N178" t="s">
        <v>614</v>
      </c>
      <c r="P178" t="s">
        <v>774</v>
      </c>
      <c r="Q178" t="s">
        <v>819</v>
      </c>
      <c r="U178">
        <f>HYPERLINK("https://www.cookcountyassessoril.gov/pin/12113150190000", "12-11-315-019-0000")</f>
        <v>0</v>
      </c>
      <c r="V178" t="s">
        <v>985</v>
      </c>
    </row>
    <row r="179" spans="1:22">
      <c r="A179">
        <v>178</v>
      </c>
      <c r="B179" t="s">
        <v>186</v>
      </c>
      <c r="C179" t="s">
        <v>383</v>
      </c>
      <c r="D179" t="s">
        <v>411</v>
      </c>
      <c r="I179">
        <v>36490</v>
      </c>
      <c r="K179" t="s">
        <v>594</v>
      </c>
      <c r="L179">
        <f>HYPERLINK("https://maps.cookcountyil.gov/cookviewer/?search=1830 W CHASE AVE", "1830 W CHASE AVE")</f>
        <v>0</v>
      </c>
      <c r="N179" t="s">
        <v>614</v>
      </c>
      <c r="P179" t="s">
        <v>775</v>
      </c>
      <c r="Q179" t="s">
        <v>961</v>
      </c>
      <c r="U179">
        <f>HYPERLINK("https://www.cookcountyassessoril.gov/pin/11304190220000", "11-30-419-022-0000")</f>
        <v>0</v>
      </c>
      <c r="V179" t="s">
        <v>986</v>
      </c>
    </row>
    <row r="180" spans="1:22">
      <c r="A180">
        <v>179</v>
      </c>
      <c r="B180" t="s">
        <v>187</v>
      </c>
      <c r="C180" t="s">
        <v>384</v>
      </c>
      <c r="D180" t="s">
        <v>411</v>
      </c>
      <c r="I180">
        <v>5000</v>
      </c>
      <c r="K180" t="s">
        <v>595</v>
      </c>
      <c r="L180">
        <f>HYPERLINK("https://maps.cookcountyil.gov/cookviewer/?search=1001 N LAKE SHORE DR", "1001 N LAKE SHORE DR")</f>
        <v>0</v>
      </c>
      <c r="N180" t="s">
        <v>614</v>
      </c>
      <c r="P180" t="s">
        <v>685</v>
      </c>
      <c r="Q180" t="s">
        <v>962</v>
      </c>
      <c r="U180" t="s">
        <v>984</v>
      </c>
      <c r="V180" t="s">
        <v>985</v>
      </c>
    </row>
    <row r="181" spans="1:22">
      <c r="A181">
        <v>180</v>
      </c>
      <c r="B181" t="s">
        <v>188</v>
      </c>
      <c r="C181" t="s">
        <v>385</v>
      </c>
      <c r="D181" t="s">
        <v>412</v>
      </c>
      <c r="I181">
        <v>14890</v>
      </c>
      <c r="K181" t="s">
        <v>596</v>
      </c>
      <c r="L181">
        <f>HYPERLINK("https://maps.cookcountyil.gov/cookviewer/?search=9211 S SANGAMON ST", "9211 S SANGAMON ST")</f>
        <v>0</v>
      </c>
      <c r="N181" t="s">
        <v>614</v>
      </c>
      <c r="P181" t="s">
        <v>776</v>
      </c>
      <c r="Q181" t="s">
        <v>963</v>
      </c>
      <c r="U181">
        <f>HYPERLINK("https://www.cookcountyassessoril.gov/pin/25054100060000", "25-05-410-006-0000")</f>
        <v>0</v>
      </c>
      <c r="V181" t="s">
        <v>985</v>
      </c>
    </row>
    <row r="182" spans="1:22">
      <c r="A182">
        <v>181</v>
      </c>
      <c r="B182" t="s">
        <v>189</v>
      </c>
      <c r="C182" t="s">
        <v>386</v>
      </c>
      <c r="D182" t="s">
        <v>416</v>
      </c>
      <c r="I182">
        <v>39300</v>
      </c>
      <c r="K182" t="s">
        <v>597</v>
      </c>
      <c r="L182">
        <f>HYPERLINK("https://maps.cookcountyil.gov/cookviewer/?search=6148 N HAMLIN AVE", "6148 N HAMLIN AVE")</f>
        <v>0</v>
      </c>
      <c r="N182" t="s">
        <v>614</v>
      </c>
      <c r="P182" t="s">
        <v>777</v>
      </c>
      <c r="Q182" t="s">
        <v>964</v>
      </c>
      <c r="U182">
        <f>HYPERLINK("https://www.cookcountyassessoril.gov/pin/13021180160000", "13-02-118-016-0000")</f>
        <v>0</v>
      </c>
      <c r="V182" t="s">
        <v>986</v>
      </c>
    </row>
    <row r="183" spans="1:22">
      <c r="A183">
        <v>182</v>
      </c>
      <c r="B183" t="s">
        <v>190</v>
      </c>
      <c r="C183" t="s">
        <v>387</v>
      </c>
      <c r="D183" t="s">
        <v>412</v>
      </c>
      <c r="I183">
        <v>14779</v>
      </c>
      <c r="K183" t="s">
        <v>598</v>
      </c>
      <c r="L183">
        <f>HYPERLINK("https://maps.cookcountyil.gov/cookviewer/?search=5815 S KIMBARK AVE", "5815 S KIMBARK AVE")</f>
        <v>0</v>
      </c>
      <c r="N183" t="s">
        <v>614</v>
      </c>
      <c r="P183" t="s">
        <v>778</v>
      </c>
      <c r="Q183" t="s">
        <v>965</v>
      </c>
      <c r="U183" t="s">
        <v>984</v>
      </c>
      <c r="V183" t="s">
        <v>985</v>
      </c>
    </row>
    <row r="184" spans="1:22">
      <c r="A184">
        <v>183</v>
      </c>
      <c r="B184" t="s">
        <v>191</v>
      </c>
      <c r="C184" t="s">
        <v>388</v>
      </c>
      <c r="D184" t="s">
        <v>420</v>
      </c>
      <c r="I184">
        <v>255000</v>
      </c>
      <c r="K184" t="s">
        <v>599</v>
      </c>
      <c r="L184">
        <f>HYPERLINK("https://maps.cookcountyil.gov/cookviewer/?search=639 W DIVERSEY PKWY", "639 W DIVERSEY PKWY")</f>
        <v>0</v>
      </c>
      <c r="N184" t="s">
        <v>614</v>
      </c>
      <c r="P184" t="s">
        <v>779</v>
      </c>
      <c r="Q184" t="s">
        <v>966</v>
      </c>
      <c r="U184" t="s">
        <v>984</v>
      </c>
      <c r="V184" t="s">
        <v>986</v>
      </c>
    </row>
    <row r="185" spans="1:22">
      <c r="A185">
        <v>184</v>
      </c>
      <c r="B185" t="s">
        <v>192</v>
      </c>
      <c r="C185" t="s">
        <v>389</v>
      </c>
      <c r="D185" t="s">
        <v>428</v>
      </c>
      <c r="I185">
        <v>11000</v>
      </c>
      <c r="K185" t="s">
        <v>600</v>
      </c>
      <c r="L185">
        <f>HYPERLINK("https://maps.cookcountyil.gov/cookviewer/?search=3835 S CALUMET AVE", "3835 S CALUMET AVE")</f>
        <v>0</v>
      </c>
      <c r="N185" t="s">
        <v>614</v>
      </c>
      <c r="P185" t="s">
        <v>780</v>
      </c>
      <c r="Q185" t="s">
        <v>967</v>
      </c>
      <c r="U185">
        <f>HYPERLINK("https://www.cookcountyassessoril.gov/pin/17343270110000", "17-34-327-011-0000")</f>
        <v>0</v>
      </c>
      <c r="V185" t="s">
        <v>986</v>
      </c>
    </row>
    <row r="186" spans="1:22">
      <c r="A186">
        <v>185</v>
      </c>
      <c r="B186" t="s">
        <v>193</v>
      </c>
      <c r="C186" t="s">
        <v>390</v>
      </c>
      <c r="D186" t="s">
        <v>411</v>
      </c>
      <c r="I186">
        <v>21700</v>
      </c>
      <c r="K186" t="s">
        <v>601</v>
      </c>
      <c r="L186">
        <f>HYPERLINK("https://maps.cookcountyil.gov/cookviewer/?search=4001 E 106TH ST", "4001 E 106TH ST")</f>
        <v>0</v>
      </c>
      <c r="N186" t="s">
        <v>614</v>
      </c>
      <c r="P186" t="s">
        <v>781</v>
      </c>
      <c r="Q186" t="s">
        <v>968</v>
      </c>
      <c r="U186">
        <f>HYPERLINK("https://www.cookcountyassessoril.gov/pin/26172030010000", "26-17-203-001-0000")</f>
        <v>0</v>
      </c>
      <c r="V186" t="s">
        <v>986</v>
      </c>
    </row>
    <row r="187" spans="1:22">
      <c r="A187">
        <v>186</v>
      </c>
      <c r="B187" t="s">
        <v>194</v>
      </c>
      <c r="C187" t="s">
        <v>391</v>
      </c>
      <c r="D187" t="s">
        <v>418</v>
      </c>
      <c r="I187">
        <v>401384</v>
      </c>
      <c r="K187" t="s">
        <v>602</v>
      </c>
      <c r="L187">
        <f>HYPERLINK("https://maps.cookcountyil.gov/cookviewer/?search=222 E PEARSON ST", "222 E PEARSON ST")</f>
        <v>0</v>
      </c>
      <c r="N187" t="s">
        <v>614</v>
      </c>
      <c r="P187" t="s">
        <v>782</v>
      </c>
      <c r="Q187" t="s">
        <v>969</v>
      </c>
      <c r="U187">
        <f>HYPERLINK("https://www.cookcountyassessoril.gov/pin/17032280160000", "17-03-228-016-0000"), =HYPERLINK("https://www.cookcountyassessoril.gov/pin/17032270230000", "17-03-227-023-0000")</f>
        <v>0</v>
      </c>
      <c r="V187" t="s">
        <v>985</v>
      </c>
    </row>
    <row r="188" spans="1:22">
      <c r="A188">
        <v>187</v>
      </c>
      <c r="B188" t="s">
        <v>195</v>
      </c>
      <c r="C188" t="s">
        <v>392</v>
      </c>
      <c r="D188" t="s">
        <v>412</v>
      </c>
      <c r="I188">
        <v>29248</v>
      </c>
      <c r="K188" t="s">
        <v>603</v>
      </c>
      <c r="L188">
        <f>HYPERLINK("https://maps.cookcountyil.gov/cookviewer/?search=6214 S WINCHESTER AVE", "6214 S WINCHESTER AVE")</f>
        <v>0</v>
      </c>
      <c r="N188" t="s">
        <v>614</v>
      </c>
      <c r="P188" t="s">
        <v>783</v>
      </c>
      <c r="Q188" t="s">
        <v>970</v>
      </c>
      <c r="U188">
        <f>HYPERLINK("https://www.cookcountyassessoril.gov/pin/20184240430000", "20-18-424-043-0000")</f>
        <v>0</v>
      </c>
      <c r="V188" t="s">
        <v>986</v>
      </c>
    </row>
    <row r="189" spans="1:22">
      <c r="A189">
        <v>188</v>
      </c>
      <c r="B189" t="s">
        <v>196</v>
      </c>
      <c r="C189" t="s">
        <v>393</v>
      </c>
      <c r="D189" t="s">
        <v>416</v>
      </c>
      <c r="I189">
        <v>5670</v>
      </c>
      <c r="K189" t="s">
        <v>604</v>
      </c>
      <c r="L189">
        <f>HYPERLINK("https://maps.cookcountyil.gov/cookviewer/?search=5351 N LYNCH AVE", "5351 N LYNCH AVE")</f>
        <v>0</v>
      </c>
      <c r="N189" t="s">
        <v>614</v>
      </c>
      <c r="P189" t="s">
        <v>784</v>
      </c>
      <c r="Q189" t="s">
        <v>971</v>
      </c>
      <c r="U189">
        <f>HYPERLINK("https://www.cookcountyassessoril.gov/pin/13091300020000", "13-09-130-002-0000")</f>
        <v>0</v>
      </c>
      <c r="V189" t="s">
        <v>986</v>
      </c>
    </row>
    <row r="190" spans="1:22">
      <c r="A190">
        <v>189</v>
      </c>
      <c r="B190" t="s">
        <v>197</v>
      </c>
      <c r="C190" t="s">
        <v>394</v>
      </c>
      <c r="D190" t="s">
        <v>415</v>
      </c>
      <c r="I190">
        <v>1000</v>
      </c>
      <c r="K190" t="s">
        <v>605</v>
      </c>
      <c r="L190">
        <f>HYPERLINK("https://maps.cookcountyil.gov/cookviewer/?search=2311 S KEDZIE AVE", "2311 S KEDZIE AVE")</f>
        <v>0</v>
      </c>
      <c r="N190" t="s">
        <v>614</v>
      </c>
      <c r="P190" t="s">
        <v>785</v>
      </c>
      <c r="Q190" t="s">
        <v>972</v>
      </c>
      <c r="U190" t="s">
        <v>984</v>
      </c>
      <c r="V190" t="s">
        <v>985</v>
      </c>
    </row>
    <row r="191" spans="1:22">
      <c r="A191">
        <v>190</v>
      </c>
      <c r="B191" t="s">
        <v>198</v>
      </c>
      <c r="C191" t="s">
        <v>395</v>
      </c>
      <c r="D191" t="s">
        <v>415</v>
      </c>
      <c r="I191">
        <v>32368</v>
      </c>
      <c r="K191" t="s">
        <v>606</v>
      </c>
      <c r="L191">
        <f>HYPERLINK("https://maps.cookcountyil.gov/cookviewer/?search=4311 W ADAMS ST", "4311 W ADAMS ST")</f>
        <v>0</v>
      </c>
      <c r="N191" t="s">
        <v>614</v>
      </c>
      <c r="P191" t="s">
        <v>786</v>
      </c>
      <c r="Q191" t="s">
        <v>973</v>
      </c>
      <c r="U191">
        <f>HYPERLINK("https://www.cookcountyassessoril.gov/pin/16152120190000", "16-15-212-019-0000")</f>
        <v>0</v>
      </c>
      <c r="V191" t="s">
        <v>986</v>
      </c>
    </row>
    <row r="192" spans="1:22">
      <c r="A192">
        <v>191</v>
      </c>
      <c r="B192" t="s">
        <v>199</v>
      </c>
      <c r="C192" t="s">
        <v>396</v>
      </c>
      <c r="D192" t="s">
        <v>414</v>
      </c>
      <c r="I192">
        <v>15000</v>
      </c>
      <c r="K192" t="s">
        <v>607</v>
      </c>
      <c r="L192">
        <f>HYPERLINK("https://maps.cookcountyil.gov/cookviewer/?search=300 N LEAVITT ST", "300 N LEAVITT ST")</f>
        <v>0</v>
      </c>
      <c r="N192" t="s">
        <v>614</v>
      </c>
      <c r="P192" t="s">
        <v>787</v>
      </c>
      <c r="Q192" t="s">
        <v>974</v>
      </c>
      <c r="U192">
        <f>HYPERLINK("https://www.cookcountyassessoril.gov/pin/17073030200000", "17-07-303-020-0000")</f>
        <v>0</v>
      </c>
      <c r="V192" t="s">
        <v>985</v>
      </c>
    </row>
    <row r="193" spans="1:22">
      <c r="A193">
        <v>192</v>
      </c>
      <c r="B193" t="s">
        <v>200</v>
      </c>
      <c r="C193" t="s">
        <v>397</v>
      </c>
      <c r="D193" t="s">
        <v>416</v>
      </c>
      <c r="I193">
        <v>7200</v>
      </c>
      <c r="K193" t="s">
        <v>608</v>
      </c>
      <c r="L193">
        <f>HYPERLINK("https://maps.cookcountyil.gov/cookviewer/?search=3343 S ABERDEEN ST", "3343 S ABERDEEN ST")</f>
        <v>0</v>
      </c>
      <c r="N193" t="s">
        <v>614</v>
      </c>
      <c r="P193" t="s">
        <v>788</v>
      </c>
      <c r="Q193" t="s">
        <v>975</v>
      </c>
      <c r="U193">
        <f>HYPERLINK("https://www.cookcountyassessoril.gov/pin/17322170320000", "17-32-217-032-0000")</f>
        <v>0</v>
      </c>
      <c r="V193" t="s">
        <v>986</v>
      </c>
    </row>
    <row r="194" spans="1:22">
      <c r="A194">
        <v>193</v>
      </c>
      <c r="B194" t="s">
        <v>201</v>
      </c>
      <c r="C194" t="s">
        <v>398</v>
      </c>
      <c r="D194" t="s">
        <v>418</v>
      </c>
      <c r="I194">
        <v>2500</v>
      </c>
      <c r="K194" t="s">
        <v>609</v>
      </c>
      <c r="L194">
        <f>HYPERLINK("https://maps.cookcountyil.gov/cookviewer/?search=9655 S HALSTED ST", "9655 S HALSTED ST")</f>
        <v>0</v>
      </c>
      <c r="N194" t="s">
        <v>614</v>
      </c>
      <c r="P194" t="s">
        <v>789</v>
      </c>
      <c r="Q194" t="s">
        <v>976</v>
      </c>
      <c r="U194">
        <f>HYPERLINK("https://www.cookcountyassessoril.gov/pin/25091080230000", "25-09-108-023-0000")</f>
        <v>0</v>
      </c>
      <c r="V194" t="s">
        <v>985</v>
      </c>
    </row>
    <row r="195" spans="1:22">
      <c r="A195">
        <v>194</v>
      </c>
      <c r="B195" t="s">
        <v>201</v>
      </c>
      <c r="C195" t="s">
        <v>399</v>
      </c>
      <c r="D195" t="s">
        <v>418</v>
      </c>
      <c r="I195">
        <v>6500</v>
      </c>
      <c r="K195" t="s">
        <v>609</v>
      </c>
      <c r="L195">
        <f>HYPERLINK("https://maps.cookcountyil.gov/cookviewer/?search=9655 S HALSTED ST", "9655 S HALSTED ST")</f>
        <v>0</v>
      </c>
      <c r="N195" t="s">
        <v>614</v>
      </c>
      <c r="P195" t="s">
        <v>789</v>
      </c>
      <c r="Q195" t="s">
        <v>977</v>
      </c>
      <c r="U195">
        <f>HYPERLINK("https://www.cookcountyassessoril.gov/pin/25091080230000", "25-09-108-023-0000")</f>
        <v>0</v>
      </c>
      <c r="V195" t="s">
        <v>985</v>
      </c>
    </row>
    <row r="196" spans="1:22">
      <c r="A196">
        <v>195</v>
      </c>
      <c r="B196" t="s">
        <v>200</v>
      </c>
      <c r="C196" t="s">
        <v>400</v>
      </c>
      <c r="D196" t="s">
        <v>420</v>
      </c>
      <c r="I196">
        <v>9600</v>
      </c>
      <c r="K196" t="s">
        <v>608</v>
      </c>
      <c r="L196">
        <f>HYPERLINK("https://maps.cookcountyil.gov/cookviewer/?search=3343 S ABERDEEN ST", "3343 S ABERDEEN ST")</f>
        <v>0</v>
      </c>
      <c r="N196" t="s">
        <v>614</v>
      </c>
      <c r="P196" t="s">
        <v>788</v>
      </c>
      <c r="Q196" t="s">
        <v>978</v>
      </c>
      <c r="U196">
        <f>HYPERLINK("https://www.cookcountyassessoril.gov/pin/17322170320000", "17-32-217-032-0000")</f>
        <v>0</v>
      </c>
      <c r="V196" t="s">
        <v>985</v>
      </c>
    </row>
    <row r="197" spans="1:22">
      <c r="A197">
        <v>196</v>
      </c>
      <c r="B197" t="s">
        <v>202</v>
      </c>
      <c r="C197" t="s">
        <v>401</v>
      </c>
      <c r="D197" t="s">
        <v>430</v>
      </c>
      <c r="I197">
        <v>35000</v>
      </c>
      <c r="K197" t="s">
        <v>610</v>
      </c>
      <c r="L197">
        <f>HYPERLINK("https://maps.cookcountyil.gov/cookviewer/?search=850 N LAKE SHORE DR", "850 N LAKE SHORE DR")</f>
        <v>0</v>
      </c>
      <c r="N197" t="s">
        <v>614</v>
      </c>
      <c r="P197" t="s">
        <v>790</v>
      </c>
      <c r="Q197" t="s">
        <v>979</v>
      </c>
      <c r="U197">
        <f>HYPERLINK("https://www.cookcountyassessoril.gov/pin/17032280040000", "17-03-228-004-0000"), =HYPERLINK("https://www.cookcountyassessoril.gov/pin/17032280050000", "17-03-228-005-0000")</f>
        <v>0</v>
      </c>
      <c r="V197" t="s">
        <v>986</v>
      </c>
    </row>
    <row r="198" spans="1:22">
      <c r="A198">
        <v>197</v>
      </c>
      <c r="B198" t="s">
        <v>201</v>
      </c>
      <c r="C198" t="s">
        <v>402</v>
      </c>
      <c r="D198" t="s">
        <v>418</v>
      </c>
      <c r="I198">
        <v>10000</v>
      </c>
      <c r="K198" t="s">
        <v>609</v>
      </c>
      <c r="L198">
        <f>HYPERLINK("https://maps.cookcountyil.gov/cookviewer/?search=9655 S HALSTED ST", "9655 S HALSTED ST")</f>
        <v>0</v>
      </c>
      <c r="N198" t="s">
        <v>614</v>
      </c>
      <c r="P198" t="s">
        <v>789</v>
      </c>
      <c r="Q198" t="s">
        <v>980</v>
      </c>
      <c r="U198">
        <f>HYPERLINK("https://www.cookcountyassessoril.gov/pin/25091080230000", "25-09-108-023-0000")</f>
        <v>0</v>
      </c>
      <c r="V198" t="s">
        <v>985</v>
      </c>
    </row>
    <row r="199" spans="1:22">
      <c r="A199">
        <v>198</v>
      </c>
      <c r="B199" t="s">
        <v>203</v>
      </c>
      <c r="C199" t="s">
        <v>403</v>
      </c>
      <c r="D199" t="s">
        <v>425</v>
      </c>
      <c r="I199">
        <v>4500</v>
      </c>
      <c r="K199" t="s">
        <v>611</v>
      </c>
      <c r="L199">
        <f>HYPERLINK("https://maps.cookcountyil.gov/cookviewer/?search=4306 W 21ST ST", "4306 W 21ST ST")</f>
        <v>0</v>
      </c>
      <c r="N199" t="s">
        <v>614</v>
      </c>
      <c r="P199" t="s">
        <v>791</v>
      </c>
      <c r="Q199" t="s">
        <v>981</v>
      </c>
      <c r="U199">
        <f>HYPERLINK("https://www.cookcountyassessoril.gov/pin/16224170350000", "16-22-417-035-0000")</f>
        <v>0</v>
      </c>
      <c r="V199" t="s">
        <v>985</v>
      </c>
    </row>
    <row r="200" spans="1:22">
      <c r="A200">
        <v>199</v>
      </c>
      <c r="B200" t="s">
        <v>204</v>
      </c>
      <c r="C200" t="s">
        <v>404</v>
      </c>
      <c r="D200" t="s">
        <v>411</v>
      </c>
      <c r="I200">
        <v>22595</v>
      </c>
      <c r="K200" t="s">
        <v>612</v>
      </c>
      <c r="L200">
        <f>HYPERLINK("https://maps.cookcountyil.gov/cookviewer/?search=6423 S KOSTNER AVE", "6423 S KOSTNER AVE")</f>
        <v>0</v>
      </c>
      <c r="N200" t="s">
        <v>614</v>
      </c>
      <c r="P200" t="s">
        <v>792</v>
      </c>
      <c r="Q200" t="s">
        <v>982</v>
      </c>
      <c r="U200">
        <f>HYPERLINK("https://www.cookcountyassessoril.gov/pin/19222080080000", "19-22-208-008-0000")</f>
        <v>0</v>
      </c>
      <c r="V200" t="s">
        <v>986</v>
      </c>
    </row>
    <row r="201" spans="1:22">
      <c r="A201">
        <v>200</v>
      </c>
      <c r="B201" t="s">
        <v>205</v>
      </c>
      <c r="C201" t="s">
        <v>405</v>
      </c>
      <c r="D201" t="s">
        <v>412</v>
      </c>
      <c r="I201">
        <v>389000</v>
      </c>
      <c r="K201" t="s">
        <v>613</v>
      </c>
      <c r="L201">
        <f>HYPERLINK("https://maps.cookcountyil.gov/cookviewer/?search=124 W POLK ST", "124 W POLK ST")</f>
        <v>0</v>
      </c>
      <c r="N201" t="s">
        <v>614</v>
      </c>
      <c r="P201" t="s">
        <v>793</v>
      </c>
      <c r="Q201" t="s">
        <v>983</v>
      </c>
      <c r="U201" t="s">
        <v>984</v>
      </c>
      <c r="V201" t="s">
        <v>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2025-09-09T20:01:41Z</dcterms:created>
  <dcterms:modified xsi:type="dcterms:W3CDTF">2025-09-09T20:01:41Z</dcterms:modified>
</cp:coreProperties>
</file>