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<sst xmlns="http://schemas.openxmlformats.org/spreadsheetml/2006/main" count="1680" uniqueCount="946">
  <si>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</si>
  <si>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</si>
  <si>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</si>
  <si>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</si>
  <si>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</si>
  <si>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</si>
  <si>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</si>
  <si>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</si>
  <si>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</si>
  <si>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</si>
  <si>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</si>
  <si>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Property Address</t>
  </si>
  <si>
    <t>Applicant Address 2 [ADDR2]</t>
  </si>
  <si>
    <t>Applicant City, State, Zip* [ADDR3]</t>
  </si>
  <si>
    <t>Contact Phone* [PHONE]</t>
  </si>
  <si>
    <t>Applicant* [USER21]</t>
  </si>
  <si>
    <t>Notes [NOTE1]</t>
  </si>
  <si>
    <t>Occupy Dt [UDATE1]</t>
  </si>
  <si>
    <t>Submit Dt* [CERTDATE]</t>
  </si>
  <si>
    <t>Est Comp Dt [UDATE2]</t>
  </si>
  <si>
    <t>Suggested PINs</t>
  </si>
  <si>
    <t>Likely_Assessable</t>
  </si>
  <si>
    <t>user21</t>
  </si>
  <si>
    <t>13143270310000</t>
  </si>
  <si>
    <t>17052170180000</t>
  </si>
  <si>
    <t>20363100240000</t>
  </si>
  <si>
    <t>14203150380000</t>
  </si>
  <si>
    <t>17301130150000</t>
  </si>
  <si>
    <t>25082090150000</t>
  </si>
  <si>
    <t>19141150210000</t>
  </si>
  <si>
    <t>21301170040000</t>
  </si>
  <si>
    <t>25093110180000</t>
  </si>
  <si>
    <t>19364150010000</t>
  </si>
  <si>
    <t>25171210300000</t>
  </si>
  <si>
    <t>20252130070000</t>
  </si>
  <si>
    <t>13083270390000</t>
  </si>
  <si>
    <t>17301230170000</t>
  </si>
  <si>
    <t>17161180230000</t>
  </si>
  <si>
    <t>13262180880000</t>
  </si>
  <si>
    <t>17322150110000</t>
  </si>
  <si>
    <t>20324020080000</t>
  </si>
  <si>
    <t>14052020130000</t>
  </si>
  <si>
    <t>25082220080000</t>
  </si>
  <si>
    <t>17094210120000</t>
  </si>
  <si>
    <t>13094010330000</t>
  </si>
  <si>
    <t>19132150340000</t>
  </si>
  <si>
    <t>13351200320000</t>
  </si>
  <si>
    <t>13022200280000</t>
  </si>
  <si>
    <t>19264070230000</t>
  </si>
  <si>
    <t>20273010250000</t>
  </si>
  <si>
    <t>14292030090000</t>
  </si>
  <si>
    <t>17182010350000</t>
  </si>
  <si>
    <t>26311140140000</t>
  </si>
  <si>
    <t>16084060190000</t>
  </si>
  <si>
    <t>20202300050000</t>
  </si>
  <si>
    <t>14292080180000</t>
  </si>
  <si>
    <t>19182240500000</t>
  </si>
  <si>
    <t>16114030100000</t>
  </si>
  <si>
    <t>19044240100000</t>
  </si>
  <si>
    <t>25053180200000</t>
  </si>
  <si>
    <t>19251210190000</t>
  </si>
  <si>
    <t>16242040080000</t>
  </si>
  <si>
    <t>17162160090000</t>
  </si>
  <si>
    <t>13262070200000</t>
  </si>
  <si>
    <t>25111130210000</t>
  </si>
  <si>
    <t>13073150380000</t>
  </si>
  <si>
    <t>14194130330000</t>
  </si>
  <si>
    <t>24143170830000</t>
  </si>
  <si>
    <t>13144010250000</t>
  </si>
  <si>
    <t>25104090230000</t>
  </si>
  <si>
    <t>13284170330000</t>
  </si>
  <si>
    <t>17081260260000</t>
  </si>
  <si>
    <t>19132140330000</t>
  </si>
  <si>
    <t>14301180300000</t>
  </si>
  <si>
    <t>13162230120000</t>
  </si>
  <si>
    <t>17183350080000</t>
  </si>
  <si>
    <t>26062020270000</t>
  </si>
  <si>
    <t>16044140200000</t>
  </si>
  <si>
    <t>26323020140000</t>
  </si>
  <si>
    <t>14312010900000</t>
  </si>
  <si>
    <t>14193080470000</t>
  </si>
  <si>
    <t>13141030130000</t>
  </si>
  <si>
    <t>14213120060000</t>
  </si>
  <si>
    <t>20142030470000</t>
  </si>
  <si>
    <t>16021100030000</t>
  </si>
  <si>
    <t>20332120010000</t>
  </si>
  <si>
    <t>20251010010000</t>
  </si>
  <si>
    <t>13161210050000</t>
  </si>
  <si>
    <t>13053320080000</t>
  </si>
  <si>
    <t>17084350170000</t>
  </si>
  <si>
    <t>13053250140000</t>
  </si>
  <si>
    <t>19084060420000</t>
  </si>
  <si>
    <t>19011020200000</t>
  </si>
  <si>
    <t>25193140040000</t>
  </si>
  <si>
    <t>13164100030000</t>
  </si>
  <si>
    <t>16094160150000</t>
  </si>
  <si>
    <t>14314000490000</t>
  </si>
  <si>
    <t>14334090240000</t>
  </si>
  <si>
    <t>13202060320000</t>
  </si>
  <si>
    <t>19123030290000</t>
  </si>
  <si>
    <t>20152000010000</t>
  </si>
  <si>
    <t>25013130190000</t>
  </si>
  <si>
    <t>13313170070000</t>
  </si>
  <si>
    <t>25032170230000</t>
  </si>
  <si>
    <t>25032170240000</t>
  </si>
  <si>
    <t>26083100480000</t>
  </si>
  <si>
    <t>17084480060000</t>
  </si>
  <si>
    <t>20351040100000</t>
  </si>
  <si>
    <t>24113050290000</t>
  </si>
  <si>
    <t>13224070230000</t>
  </si>
  <si>
    <t>24232050490000</t>
  </si>
  <si>
    <t>19354110640000</t>
  </si>
  <si>
    <t>14074010110000</t>
  </si>
  <si>
    <t>13112060180000</t>
  </si>
  <si>
    <t>20271090190000</t>
  </si>
  <si>
    <t>14054070170000</t>
  </si>
  <si>
    <t>14311320460000</t>
  </si>
  <si>
    <t>13011010400000</t>
  </si>
  <si>
    <t>25202080170000</t>
  </si>
  <si>
    <t>20204030350000</t>
  </si>
  <si>
    <t>09364060290000</t>
  </si>
  <si>
    <t>20293110280000</t>
  </si>
  <si>
    <t>19351260680000</t>
  </si>
  <si>
    <t>13192070190000</t>
  </si>
  <si>
    <t>20254120240000</t>
  </si>
  <si>
    <t>19351270640000</t>
  </si>
  <si>
    <t>17102000120000</t>
  </si>
  <si>
    <t>17062320400000</t>
  </si>
  <si>
    <t>20261300060000</t>
  </si>
  <si>
    <t>19111090100000</t>
  </si>
  <si>
    <t>16144040130000</t>
  </si>
  <si>
    <t>12081000060000</t>
  </si>
  <si>
    <t>13083110460000</t>
  </si>
  <si>
    <t>25093140200000</t>
  </si>
  <si>
    <t>14301030520000</t>
  </si>
  <si>
    <t>13224250050000</t>
  </si>
  <si>
    <t>17102170020000</t>
  </si>
  <si>
    <t>20034080040000</t>
  </si>
  <si>
    <t>17094070010000</t>
  </si>
  <si>
    <t>13242040270000</t>
  </si>
  <si>
    <t>25083040420000</t>
  </si>
  <si>
    <t>14311260280000</t>
  </si>
  <si>
    <t>14281080280000</t>
  </si>
  <si>
    <t>19182170320000</t>
  </si>
  <si>
    <t>16034250440000</t>
  </si>
  <si>
    <t>14292120210000</t>
  </si>
  <si>
    <t>17164040230000</t>
  </si>
  <si>
    <t>20111050290000</t>
  </si>
  <si>
    <t>20111050250000</t>
  </si>
  <si>
    <t>17331020260000</t>
  </si>
  <si>
    <t>20252150210000</t>
  </si>
  <si>
    <t>20192140400000</t>
  </si>
  <si>
    <t>17161200100000</t>
  </si>
  <si>
    <t>13341250150000</t>
  </si>
  <si>
    <t>13213210050000</t>
  </si>
  <si>
    <t>25222000310000</t>
  </si>
  <si>
    <t>17202260630000</t>
  </si>
  <si>
    <t>19191030010000</t>
  </si>
  <si>
    <t>16043250250000</t>
  </si>
  <si>
    <t>17031120330000</t>
  </si>
  <si>
    <t>16143060170000</t>
  </si>
  <si>
    <t>25154030040000</t>
  </si>
  <si>
    <t>26321000320000</t>
  </si>
  <si>
    <t>12014220170000</t>
  </si>
  <si>
    <t>20314060260000</t>
  </si>
  <si>
    <t>14192240320000</t>
  </si>
  <si>
    <t>14083000120000</t>
  </si>
  <si>
    <t>20331090460000</t>
  </si>
  <si>
    <t>19174290310000</t>
  </si>
  <si>
    <t>13103120420000</t>
  </si>
  <si>
    <t>20244200300000</t>
  </si>
  <si>
    <t>17062210330000</t>
  </si>
  <si>
    <t>17072180490000</t>
  </si>
  <si>
    <t>17151020090000</t>
  </si>
  <si>
    <t>25203080010000</t>
  </si>
  <si>
    <t>25201240490000</t>
  </si>
  <si>
    <t>19111210210000</t>
  </si>
  <si>
    <t>16024220310000</t>
  </si>
  <si>
    <t>21303210080000</t>
  </si>
  <si>
    <t>17031060270000</t>
  </si>
  <si>
    <t>13124150120000</t>
  </si>
  <si>
    <t>17074300300000</t>
  </si>
  <si>
    <t>13322200250000</t>
  </si>
  <si>
    <t>19074260090000</t>
  </si>
  <si>
    <t>14053080070000</t>
  </si>
  <si>
    <t>20364140420000</t>
  </si>
  <si>
    <t>20173210130000</t>
  </si>
  <si>
    <t>20362030240000</t>
  </si>
  <si>
    <t>16264090430000</t>
  </si>
  <si>
    <t>13352100190000</t>
  </si>
  <si>
    <t>20363060010000</t>
  </si>
  <si>
    <t>20301020210000</t>
  </si>
  <si>
    <t>21304070110000</t>
  </si>
  <si>
    <t>13212090210000</t>
  </si>
  <si>
    <t>13032200400000</t>
  </si>
  <si>
    <t>13333250200000</t>
  </si>
  <si>
    <t>20163230250000</t>
  </si>
  <si>
    <t>19181200350000</t>
  </si>
  <si>
    <t>13333150180000</t>
  </si>
  <si>
    <t>13362260020000</t>
  </si>
  <si>
    <t>14171060460000</t>
  </si>
  <si>
    <t>B200439181</t>
  </si>
  <si>
    <t>B200439186</t>
  </si>
  <si>
    <t>B200439187</t>
  </si>
  <si>
    <t>B200439188</t>
  </si>
  <si>
    <t>B200439190</t>
  </si>
  <si>
    <t>B200439191</t>
  </si>
  <si>
    <t>B200439197</t>
  </si>
  <si>
    <t>B200439199</t>
  </si>
  <si>
    <t>B200439201</t>
  </si>
  <si>
    <t>B200439208</t>
  </si>
  <si>
    <t>B200439211</t>
  </si>
  <si>
    <t>B200439212</t>
  </si>
  <si>
    <t>B200439213</t>
  </si>
  <si>
    <t>B200439228</t>
  </si>
  <si>
    <t>B200439231</t>
  </si>
  <si>
    <t>B200439234</t>
  </si>
  <si>
    <t>B200439236</t>
  </si>
  <si>
    <t>B200439242</t>
  </si>
  <si>
    <t>B200439243</t>
  </si>
  <si>
    <t>B200439250</t>
  </si>
  <si>
    <t>B200439254</t>
  </si>
  <si>
    <t>B200439255</t>
  </si>
  <si>
    <t>B200439261</t>
  </si>
  <si>
    <t>B200439265</t>
  </si>
  <si>
    <t>B200439268</t>
  </si>
  <si>
    <t>B200439270</t>
  </si>
  <si>
    <t>B200439272</t>
  </si>
  <si>
    <t>B200439275</t>
  </si>
  <si>
    <t>B200439280</t>
  </si>
  <si>
    <t>B200439281</t>
  </si>
  <si>
    <t>B200439282</t>
  </si>
  <si>
    <t>B200439283</t>
  </si>
  <si>
    <t>B200439284</t>
  </si>
  <si>
    <t>B200439286</t>
  </si>
  <si>
    <t>B200439300</t>
  </si>
  <si>
    <t>B200439302</t>
  </si>
  <si>
    <t>B200439304</t>
  </si>
  <si>
    <t>B200439308</t>
  </si>
  <si>
    <t>B200439312</t>
  </si>
  <si>
    <t>B200439322</t>
  </si>
  <si>
    <t>B200439334</t>
  </si>
  <si>
    <t>B200439338</t>
  </si>
  <si>
    <t>B200439342</t>
  </si>
  <si>
    <t>B200439348</t>
  </si>
  <si>
    <t>B200439349</t>
  </si>
  <si>
    <t>B200439353</t>
  </si>
  <si>
    <t>B200439354</t>
  </si>
  <si>
    <t>B200439360</t>
  </si>
  <si>
    <t>B200439362</t>
  </si>
  <si>
    <t>B200439363</t>
  </si>
  <si>
    <t>B200439364</t>
  </si>
  <si>
    <t>B200439365</t>
  </si>
  <si>
    <t>B200439367</t>
  </si>
  <si>
    <t>B200439368</t>
  </si>
  <si>
    <t>B200439371</t>
  </si>
  <si>
    <t>B200439378</t>
  </si>
  <si>
    <t>B200439381</t>
  </si>
  <si>
    <t>B200439383</t>
  </si>
  <si>
    <t>B200439384</t>
  </si>
  <si>
    <t>B200439386</t>
  </si>
  <si>
    <t>B200439392</t>
  </si>
  <si>
    <t>B200439393</t>
  </si>
  <si>
    <t>B200439396</t>
  </si>
  <si>
    <t>B200439402</t>
  </si>
  <si>
    <t>B200439406</t>
  </si>
  <si>
    <t>B200439426</t>
  </si>
  <si>
    <t>B200439437</t>
  </si>
  <si>
    <t>B200439440</t>
  </si>
  <si>
    <t>B200439443</t>
  </si>
  <si>
    <t>B200439444</t>
  </si>
  <si>
    <t>B200439448</t>
  </si>
  <si>
    <t>B200439453</t>
  </si>
  <si>
    <t>B200439454</t>
  </si>
  <si>
    <t>B200439463</t>
  </si>
  <si>
    <t>B200439482</t>
  </si>
  <si>
    <t>B200439484</t>
  </si>
  <si>
    <t>B200439488</t>
  </si>
  <si>
    <t>B200439490</t>
  </si>
  <si>
    <t>B200439502</t>
  </si>
  <si>
    <t>B200439504</t>
  </si>
  <si>
    <t>B200439506</t>
  </si>
  <si>
    <t>B200439508</t>
  </si>
  <si>
    <t>B200439509</t>
  </si>
  <si>
    <t>B200439514</t>
  </si>
  <si>
    <t>B200439517</t>
  </si>
  <si>
    <t>B200439532</t>
  </si>
  <si>
    <t>B200439534</t>
  </si>
  <si>
    <t>B200439542</t>
  </si>
  <si>
    <t>B200439548</t>
  </si>
  <si>
    <t>B200439562</t>
  </si>
  <si>
    <t>B200439563</t>
  </si>
  <si>
    <t>B200439567</t>
  </si>
  <si>
    <t>B200439582</t>
  </si>
  <si>
    <t>B200439585</t>
  </si>
  <si>
    <t>B200439588</t>
  </si>
  <si>
    <t>B200439589</t>
  </si>
  <si>
    <t>B200439592</t>
  </si>
  <si>
    <t>B200439598</t>
  </si>
  <si>
    <t>B200439600</t>
  </si>
  <si>
    <t>B200439603</t>
  </si>
  <si>
    <t>B200439606</t>
  </si>
  <si>
    <t>B200439612</t>
  </si>
  <si>
    <t>B200439619</t>
  </si>
  <si>
    <t>B200439622</t>
  </si>
  <si>
    <t>B200439631</t>
  </si>
  <si>
    <t>B200439635</t>
  </si>
  <si>
    <t>B200439636</t>
  </si>
  <si>
    <t>B200439650</t>
  </si>
  <si>
    <t>B200439663</t>
  </si>
  <si>
    <t>B200439665</t>
  </si>
  <si>
    <t>B200439671</t>
  </si>
  <si>
    <t>B200439675</t>
  </si>
  <si>
    <t>B200439676</t>
  </si>
  <si>
    <t>B200439678</t>
  </si>
  <si>
    <t>B200439690</t>
  </si>
  <si>
    <t>B200439691</t>
  </si>
  <si>
    <t>B200439697</t>
  </si>
  <si>
    <t>B200439704</t>
  </si>
  <si>
    <t>B200439731</t>
  </si>
  <si>
    <t>B200439735</t>
  </si>
  <si>
    <t>B200439738</t>
  </si>
  <si>
    <t>B200439741</t>
  </si>
  <si>
    <t>B200439745</t>
  </si>
  <si>
    <t>B200439748</t>
  </si>
  <si>
    <t>B200439749</t>
  </si>
  <si>
    <t>B200439752</t>
  </si>
  <si>
    <t>B200439757</t>
  </si>
  <si>
    <t>B200439760</t>
  </si>
  <si>
    <t>B200439762</t>
  </si>
  <si>
    <t>B200439765</t>
  </si>
  <si>
    <t>B200439768</t>
  </si>
  <si>
    <t>B200439769</t>
  </si>
  <si>
    <t>B200439774</t>
  </si>
  <si>
    <t>B200439775</t>
  </si>
  <si>
    <t>B200439776</t>
  </si>
  <si>
    <t>B200439786</t>
  </si>
  <si>
    <t>B200439793</t>
  </si>
  <si>
    <t>B200439795</t>
  </si>
  <si>
    <t>B200439796</t>
  </si>
  <si>
    <t>B200439816</t>
  </si>
  <si>
    <t>B200439817</t>
  </si>
  <si>
    <t>B200439823</t>
  </si>
  <si>
    <t>B200439825</t>
  </si>
  <si>
    <t>B200439831</t>
  </si>
  <si>
    <t>B200439841</t>
  </si>
  <si>
    <t>B200439843</t>
  </si>
  <si>
    <t>B200439847</t>
  </si>
  <si>
    <t>B200439850</t>
  </si>
  <si>
    <t>B200439853</t>
  </si>
  <si>
    <t>B200439856</t>
  </si>
  <si>
    <t>B200439860</t>
  </si>
  <si>
    <t>B200439868</t>
  </si>
  <si>
    <t>B200439871</t>
  </si>
  <si>
    <t>B200439876</t>
  </si>
  <si>
    <t>B200439887</t>
  </si>
  <si>
    <t>B200439888</t>
  </si>
  <si>
    <t>B200439890</t>
  </si>
  <si>
    <t>B200439892</t>
  </si>
  <si>
    <t>B200439893</t>
  </si>
  <si>
    <t>B200439897</t>
  </si>
  <si>
    <t>B200439901</t>
  </si>
  <si>
    <t>B200439904</t>
  </si>
  <si>
    <t>B200439906</t>
  </si>
  <si>
    <t>B200439916</t>
  </si>
  <si>
    <t>B200439923</t>
  </si>
  <si>
    <t>B200439924</t>
  </si>
  <si>
    <t>B200439927</t>
  </si>
  <si>
    <t>B200439931</t>
  </si>
  <si>
    <t>B200439936</t>
  </si>
  <si>
    <t>B200439939</t>
  </si>
  <si>
    <t>B200439943</t>
  </si>
  <si>
    <t>B200439953</t>
  </si>
  <si>
    <t>B200439960</t>
  </si>
  <si>
    <t>B200439971</t>
  </si>
  <si>
    <t>B200439989</t>
  </si>
  <si>
    <t>B200440016</t>
  </si>
  <si>
    <t>B200440023</t>
  </si>
  <si>
    <t>B200440034</t>
  </si>
  <si>
    <t>B200440040</t>
  </si>
  <si>
    <t>B200440066</t>
  </si>
  <si>
    <t>B200440067</t>
  </si>
  <si>
    <t>B200440069</t>
  </si>
  <si>
    <t>B200440081</t>
  </si>
  <si>
    <t>B200440091</t>
  </si>
  <si>
    <t>B200440092</t>
  </si>
  <si>
    <t>B200440093</t>
  </si>
  <si>
    <t>B200440094</t>
  </si>
  <si>
    <t>B200440096</t>
  </si>
  <si>
    <t>B200440097</t>
  </si>
  <si>
    <t>B200440099</t>
  </si>
  <si>
    <t>B200440100</t>
  </si>
  <si>
    <t>B200440102</t>
  </si>
  <si>
    <t>B200440103</t>
  </si>
  <si>
    <t>B200440104</t>
  </si>
  <si>
    <t>B200440105</t>
  </si>
  <si>
    <t>B200440107</t>
  </si>
  <si>
    <t>B200440111</t>
  </si>
  <si>
    <t>B200440125</t>
  </si>
  <si>
    <t>B200440137</t>
  </si>
  <si>
    <t>8/21/2025</t>
  </si>
  <si>
    <t>8/23/2025</t>
  </si>
  <si>
    <t>8/22/2025</t>
  </si>
  <si>
    <t>8/25/2025</t>
  </si>
  <si>
    <t>8/26/2025</t>
  </si>
  <si>
    <t>8/27/2025</t>
  </si>
  <si>
    <t>8/28/2025</t>
  </si>
  <si>
    <t>8/29/2025</t>
  </si>
  <si>
    <t>8/24/2025</t>
  </si>
  <si>
    <t>4015 N HARDING AVE</t>
  </si>
  <si>
    <t>869 W BLACKHAWK ST</t>
  </si>
  <si>
    <t>1655 E 84TH PL</t>
  </si>
  <si>
    <t>3424 N RACINE AVE</t>
  </si>
  <si>
    <t>2223 W 23RD PL</t>
  </si>
  <si>
    <t>9634 S GENOA AVE</t>
  </si>
  <si>
    <t>3601 W 56TH PL</t>
  </si>
  <si>
    <t>2453 E 74TH PL</t>
  </si>
  <si>
    <t>10008 S WALLACE ST</t>
  </si>
  <si>
    <t>2761 W SEIPP ST</t>
  </si>
  <si>
    <t>10504 S THROOP ST</t>
  </si>
  <si>
    <t>7233 S OGLESBY AVE</t>
  </si>
  <si>
    <t>6000 W GUNNISON ST</t>
  </si>
  <si>
    <t>2123 W COULTER ST</t>
  </si>
  <si>
    <t>333 S DESPLAINES ST</t>
  </si>
  <si>
    <t>2837 N MILWAUKEE AVE</t>
  </si>
  <si>
    <t>3225 S GREEN ST</t>
  </si>
  <si>
    <t>8323 S ABERDEEN ST</t>
  </si>
  <si>
    <t>6330 N SHERIDAN RD</t>
  </si>
  <si>
    <t>9723 S SANGAMON ST</t>
  </si>
  <si>
    <t>77 W WACKER DR</t>
  </si>
  <si>
    <t>5000 W WINONA ST</t>
  </si>
  <si>
    <t>5756 S ROCKWELL ST</t>
  </si>
  <si>
    <t>3636 W SHAKESPEARE AVE</t>
  </si>
  <si>
    <t>6163 N LINCOLN AVE</t>
  </si>
  <si>
    <t>3501 W 77TH PL</t>
  </si>
  <si>
    <t>7524 S MICHIGAN AVE</t>
  </si>
  <si>
    <t>3133 N KENMORE AVE</t>
  </si>
  <si>
    <t>1901 W MADISON ST</t>
  </si>
  <si>
    <t>13251 S EXCHANGE AVE</t>
  </si>
  <si>
    <t>218 N MASON AVE</t>
  </si>
  <si>
    <t>6611 S PEORIA ST</t>
  </si>
  <si>
    <t>3015 N CLIFTON AVE</t>
  </si>
  <si>
    <t>5801 S OAK PARK AVE</t>
  </si>
  <si>
    <t>305 N CENTRAL PARK AVE</t>
  </si>
  <si>
    <t>4627 S LARAMIE AVE</t>
  </si>
  <si>
    <t>9310 S BISHOP ST</t>
  </si>
  <si>
    <t>2901 W 73RD ST</t>
  </si>
  <si>
    <t>2552 W OGDEN AVE</t>
  </si>
  <si>
    <t>233 S WACKER DR</t>
  </si>
  <si>
    <t>3105 N SAWYER AVE</t>
  </si>
  <si>
    <t>9761 S ELLIS AVE</t>
  </si>
  <si>
    <t>5000 N NEWLAND AVE</t>
  </si>
  <si>
    <t>1753 W CORNELIA AVE</t>
  </si>
  <si>
    <t>3604 W 111TH ST</t>
  </si>
  <si>
    <t>4342 N ST LOUIS AVE</t>
  </si>
  <si>
    <t>10110 S RHODES AVE</t>
  </si>
  <si>
    <t>5018 W DEMING PL</t>
  </si>
  <si>
    <t>1225 W OHIO ST</t>
  </si>
  <si>
    <t>5758 S TALMAN AVE</t>
  </si>
  <si>
    <t>2801 N OAKLEY AVE</t>
  </si>
  <si>
    <t>5146 W AGATITE AVE</t>
  </si>
  <si>
    <t>2339 W GRENSHAW ST</t>
  </si>
  <si>
    <t>8728 S COMMERCIAL AVE</t>
  </si>
  <si>
    <t>4830 W AUGUSTA BLVD</t>
  </si>
  <si>
    <t>13441 S AVENUE M</t>
  </si>
  <si>
    <t>1747 W FULLERTON AVE</t>
  </si>
  <si>
    <t>3415 N WESTERN AVE</t>
  </si>
  <si>
    <t>4717 N AVERS AVE</t>
  </si>
  <si>
    <t>527 W ALDINE AVE</t>
  </si>
  <si>
    <t>5540 S BLACKSTONE AVE</t>
  </si>
  <si>
    <t>1453 N SPRINGFIELD AVE</t>
  </si>
  <si>
    <t>8001 S WENTWORTH AVE</t>
  </si>
  <si>
    <t>1631 E 71ST ST</t>
  </si>
  <si>
    <t>5261 W WINDSOR AVE</t>
  </si>
  <si>
    <t>5637 N MEADE AVE</t>
  </si>
  <si>
    <t>1140 W WASHINGTON BLVD</t>
  </si>
  <si>
    <t>5621 N NAGLE AVE</t>
  </si>
  <si>
    <t>5144 S PARKSIDE AVE</t>
  </si>
  <si>
    <t>2905 W PERSHING RD</t>
  </si>
  <si>
    <t>11717 S LONGWOOD DR</t>
  </si>
  <si>
    <t>4851 W CULLOM AVE</t>
  </si>
  <si>
    <t>176 N LAPORTE AVE</t>
  </si>
  <si>
    <t>1955 N DAMEN AVE</t>
  </si>
  <si>
    <t>1850 N CLARK ST</t>
  </si>
  <si>
    <t>5708 W BYRON ST</t>
  </si>
  <si>
    <t>5120 S SACRAMENTO AVE</t>
  </si>
  <si>
    <t>740 E ADMINISTRATION DR</t>
  </si>
  <si>
    <t>9214 S BENNETT AVE</t>
  </si>
  <si>
    <t>1741 N SAYRE AVE</t>
  </si>
  <si>
    <t>8921 S EBERHART AVE</t>
  </si>
  <si>
    <t>10302 S AVENUE N</t>
  </si>
  <si>
    <t>14 N PEORIA ST</t>
  </si>
  <si>
    <t>7937 S ELLIS AVE</t>
  </si>
  <si>
    <t>10149 S SPRINGFIELD AVE</t>
  </si>
  <si>
    <t>4130 W CORNELIA AVE</t>
  </si>
  <si>
    <t>11202 S SPAULDING AVE</t>
  </si>
  <si>
    <t>3238 W 84TH PL</t>
  </si>
  <si>
    <t>5126 N WOLCOTT AVE</t>
  </si>
  <si>
    <t>5407 N ST LOUIS AVE</t>
  </si>
  <si>
    <t>7200 S PRAIRIE AVE</t>
  </si>
  <si>
    <t>5701 N SHERIDAN RD</t>
  </si>
  <si>
    <t>2028 N OAKLEY AVE</t>
  </si>
  <si>
    <t>6322 N ALBANY AVE</t>
  </si>
  <si>
    <t>1119 W 112TH ST</t>
  </si>
  <si>
    <t>6748 S MORGAN ST</t>
  </si>
  <si>
    <t>6718 N OCONTO AVE</t>
  </si>
  <si>
    <t>7724 S LAFLIN ST</t>
  </si>
  <si>
    <t>3810 W 83RD ST</t>
  </si>
  <si>
    <t>3815 N OAK PARK AVE</t>
  </si>
  <si>
    <t>7616 S LUELLA AVE</t>
  </si>
  <si>
    <t>3748 W 83RD ST</t>
  </si>
  <si>
    <t>211 E CHICAGO AVE</t>
  </si>
  <si>
    <t>1360 N ASHLAND AVE</t>
  </si>
  <si>
    <t>7427 S SOUTH CHICAGO AVE</t>
  </si>
  <si>
    <t>4827 S SPRINGFIELD AVE</t>
  </si>
  <si>
    <t>3537 W FLOURNOY ST</t>
  </si>
  <si>
    <t>10000 W OHARE ST</t>
  </si>
  <si>
    <t>5009 N MOODY AVE</t>
  </si>
  <si>
    <t>420 W 100TH PL</t>
  </si>
  <si>
    <t>2125 W BELMONT AVE</t>
  </si>
  <si>
    <t>3311 N KOSTNER AVE</t>
  </si>
  <si>
    <t>600 E GRAND AVE</t>
  </si>
  <si>
    <t>4419 S VINCENNES AVE</t>
  </si>
  <si>
    <t>325 N LA SALLE DR</t>
  </si>
  <si>
    <t>2418 W BERENICE AVE</t>
  </si>
  <si>
    <t>9928 S VINCENNES AVE</t>
  </si>
  <si>
    <t>2130 W CHARLESTON ST</t>
  </si>
  <si>
    <t>533 W BARRY AVE</t>
  </si>
  <si>
    <t>5732 S NORMANDY AVE</t>
  </si>
  <si>
    <t>4312 W CHICAGO AVE</t>
  </si>
  <si>
    <t>836 W NELSON ST</t>
  </si>
  <si>
    <t>730 S CLARK ST</t>
  </si>
  <si>
    <t>4800 S DREXEL BLVD</t>
  </si>
  <si>
    <t>829 E 48TH ST</t>
  </si>
  <si>
    <t>3116 S LOWE AVE</t>
  </si>
  <si>
    <t>7330 S MERRILL AVE</t>
  </si>
  <si>
    <t>6446 S MARSHFIELD AVE</t>
  </si>
  <si>
    <t>320 S CANAL ST</t>
  </si>
  <si>
    <t>4721 W MCLEAN AVE</t>
  </si>
  <si>
    <t>5343 W HENDERSON ST</t>
  </si>
  <si>
    <t>11148 S VERNON AVE</t>
  </si>
  <si>
    <t>1000 W 15TH ST</t>
  </si>
  <si>
    <t>6859 W 63RD ST</t>
  </si>
  <si>
    <t>5446 W RICE ST</t>
  </si>
  <si>
    <t>1 E SCOTT ST</t>
  </si>
  <si>
    <t>3821 W FLOURNOY ST</t>
  </si>
  <si>
    <t>543 E 107TH ST</t>
  </si>
  <si>
    <t>13022 S AVENUE N</t>
  </si>
  <si>
    <t>5721 N OSCEOLA AVE</t>
  </si>
  <si>
    <t>8318 S ASHLAND AVE</t>
  </si>
  <si>
    <t>3726 N ASHLAND AVE</t>
  </si>
  <si>
    <t>5134 N CLARK ST</t>
  </si>
  <si>
    <t>8016 S UNION AVE</t>
  </si>
  <si>
    <t>5718 W 63RD ST</t>
  </si>
  <si>
    <t>5044 N KOLMAR AVE</t>
  </si>
  <si>
    <t>6901 S OGLESBY AVE</t>
  </si>
  <si>
    <t>1620 W BLACKHAWK ST</t>
  </si>
  <si>
    <t>1900 W GRAND AVE</t>
  </si>
  <si>
    <t>30 E ADAMS ST</t>
  </si>
  <si>
    <t>11601 S JUSTINE ST</t>
  </si>
  <si>
    <t>11424 S ELIZABETH ST</t>
  </si>
  <si>
    <t>3648 W 51ST ST</t>
  </si>
  <si>
    <t>824 N HOMAN AVE</t>
  </si>
  <si>
    <t>7731 S KINGSTON AVE</t>
  </si>
  <si>
    <t>1325 N STATE PKWY</t>
  </si>
  <si>
    <t>2545 W ARGYLE ST</t>
  </si>
  <si>
    <t>1630 W WARREN BLVD</t>
  </si>
  <si>
    <t>2125 N MASON AVE</t>
  </si>
  <si>
    <t>5425 S NORMANDY AVE</t>
  </si>
  <si>
    <t>1339 W THORNDALE AVE</t>
  </si>
  <si>
    <t>8408 S YATES BLVD</t>
  </si>
  <si>
    <t>6117 S ADA ST</t>
  </si>
  <si>
    <t>7932 S PAXTON AVE</t>
  </si>
  <si>
    <t>2758 S ST LOUIS AVE</t>
  </si>
  <si>
    <t>3522 W LYNDALE ST</t>
  </si>
  <si>
    <t>8320 S ANTHONY AVE</t>
  </si>
  <si>
    <t>7141 S OAKLEY AVE</t>
  </si>
  <si>
    <t>7833 S BURNHAM AVE</t>
  </si>
  <si>
    <t>5005 W BYRON ST</t>
  </si>
  <si>
    <t>6152 N KEELER AVE</t>
  </si>
  <si>
    <t>1644 N LATROBE AVE</t>
  </si>
  <si>
    <t>426 W ENGLEWOOD AVE</t>
  </si>
  <si>
    <t>5742 S NEWLAND AVE</t>
  </si>
  <si>
    <t>1707 N LONG AVE</t>
  </si>
  <si>
    <t>2427 W CHARLESTON ST</t>
  </si>
  <si>
    <t>4646 N GREENVIEW AVE</t>
  </si>
  <si>
    <t>CHICAGO, IL</t>
  </si>
  <si>
    <t>KAPITAL ELECTRIC CO., INC</t>
  </si>
  <si>
    <t>OWENS DARNICIA</t>
  </si>
  <si>
    <t>TURNBOUGH JESTINE</t>
  </si>
  <si>
    <t>MCLAIN GARY</t>
  </si>
  <si>
    <t>TAMAYO JULIANA</t>
  </si>
  <si>
    <t>BELLO ADEKUNBI</t>
  </si>
  <si>
    <t>KILGARCIA EUNSEM</t>
  </si>
  <si>
    <t>VAZQUEZ IVETTE</t>
  </si>
  <si>
    <t>BURRAGE MEOISHA</t>
  </si>
  <si>
    <t>WILEY GEORGE</t>
  </si>
  <si>
    <t>PATTERSON JAMES</t>
  </si>
  <si>
    <t>OTTOSEN KARL</t>
  </si>
  <si>
    <t>KOMEZA KONRAD</t>
  </si>
  <si>
    <t>CHAVEZ ABRAHAM</t>
  </si>
  <si>
    <t>OMER THOMAS</t>
  </si>
  <si>
    <t>PALELLA PHILLIP</t>
  </si>
  <si>
    <t>LANDRY LINDSAY MARIE</t>
  </si>
  <si>
    <t>CRUSHON BRENDA</t>
  </si>
  <si>
    <t>MULA FRANK</t>
  </si>
  <si>
    <t>WASHINGTON RUTH</t>
  </si>
  <si>
    <t>CBRE, INC</t>
  </si>
  <si>
    <t>SINGH CALVIN</t>
  </si>
  <si>
    <t>SANCHEZ MARIA</t>
  </si>
  <si>
    <t>ESTERL JASON</t>
  </si>
  <si>
    <t>JP MORGAN CHASE BANK NA</t>
  </si>
  <si>
    <t>HERNAND JAVIER</t>
  </si>
  <si>
    <t>LEE ALFONCINA</t>
  </si>
  <si>
    <t>KIMCHI EYAL</t>
  </si>
  <si>
    <t>UNITED CENTER JOINT VENTURE</t>
  </si>
  <si>
    <t>JORDAN AMANDA</t>
  </si>
  <si>
    <t>BENITEZ ISRAEL</t>
  </si>
  <si>
    <t>CUEVAS ALBERTO</t>
  </si>
  <si>
    <t>CLIFTON AVE 3015 NORTH</t>
  </si>
  <si>
    <t>PARHAM ANDRE</t>
  </si>
  <si>
    <t>FRANKLIN BLVD PARTNERS, LLC</t>
  </si>
  <si>
    <t>RICHARDSON ANTHONY</t>
  </si>
  <si>
    <t>RICHARDSON SR EDWARD</t>
  </si>
  <si>
    <t>VILLAVERDE DANIEL</t>
  </si>
  <si>
    <t>IRON MOUNTAIN GLOBAL REAL ESTATE</t>
  </si>
  <si>
    <t>ADTALEM</t>
  </si>
  <si>
    <t>MIRZA MOHAMMED</t>
  </si>
  <si>
    <t>BYARS CHESTER</t>
  </si>
  <si>
    <t>DALILA SOSA</t>
  </si>
  <si>
    <t>HOBBS MARLAND</t>
  </si>
  <si>
    <t>CUMMINGS MICHAEL</t>
  </si>
  <si>
    <t>TELLEZ AJSA</t>
  </si>
  <si>
    <t>SMITH MELANIE</t>
  </si>
  <si>
    <t>CRUZ ANA</t>
  </si>
  <si>
    <t>SZUBA JALENE</t>
  </si>
  <si>
    <t>LEDESMA LUIS</t>
  </si>
  <si>
    <t>THE HOMES OF RIVERSEDGE CONDOMINIUMS ASSOCIATION 1</t>
  </si>
  <si>
    <t>RAYMER ERIC</t>
  </si>
  <si>
    <t>CASTRO CECILIA</t>
  </si>
  <si>
    <t>WEBER PABLO</t>
  </si>
  <si>
    <t>HARGROVE MARY</t>
  </si>
  <si>
    <t>SILVA LOUIS</t>
  </si>
  <si>
    <t>SPIRIT HALLOWEEN</t>
  </si>
  <si>
    <t>SLEMPKES ALAINA</t>
  </si>
  <si>
    <t>SUPERA ASSET MANAGEMENT</t>
  </si>
  <si>
    <t>5540-5542 BLACKSTONE CONDOMINIUM</t>
  </si>
  <si>
    <t>SALGADO CLAUDIA</t>
  </si>
  <si>
    <t>GALLARDO CORTES MARIO</t>
  </si>
  <si>
    <t>BYRD LATOYA</t>
  </si>
  <si>
    <t>LOPEZ JOHN</t>
  </si>
  <si>
    <t>BOGUSZEWSKI TED</t>
  </si>
  <si>
    <t>GOLDSMITH RICHARD</t>
  </si>
  <si>
    <t>AZUARA IRMA</t>
  </si>
  <si>
    <t>GALLEGOS REFUGIO</t>
  </si>
  <si>
    <t>JONES CHARLES</t>
  </si>
  <si>
    <t>MUNOZ GINA</t>
  </si>
  <si>
    <t>MAGDAN CONSTRUCTION INC</t>
  </si>
  <si>
    <t>PNC BANK</t>
  </si>
  <si>
    <t>HEMINGWAY HOUSE CONDOMINIUM ASSOCIATION</t>
  </si>
  <si>
    <t>KINNEY MILES</t>
  </si>
  <si>
    <t>AVITIA CHRISTIAN</t>
  </si>
  <si>
    <t>DUSABLE BLACK HISTORY MUSEUM &amp; EDUCATION CENTER</t>
  </si>
  <si>
    <t>HARPER REYNOLDS PATRICIA</t>
  </si>
  <si>
    <t>IRON DENISE</t>
  </si>
  <si>
    <t>ORTEGA JANNETH</t>
  </si>
  <si>
    <t>CHICO JOSEPH</t>
  </si>
  <si>
    <t>FIRST SERVICE RESIDENTIAL</t>
  </si>
  <si>
    <t>HEMINGWAY TYRONE</t>
  </si>
  <si>
    <t>GALLAPO ROBERT</t>
  </si>
  <si>
    <t>AUGE WILLIAM</t>
  </si>
  <si>
    <t>GIANNON LAURIE</t>
  </si>
  <si>
    <t>ROMERO ADRIAN</t>
  </si>
  <si>
    <t>SEIFERT KATHRYN</t>
  </si>
  <si>
    <t>GOMEZ ANTHONY</t>
  </si>
  <si>
    <t>BUCKNER DONZELLA A</t>
  </si>
  <si>
    <t>FOUCHEY PAUL</t>
  </si>
  <si>
    <t>CRUSHSHON BRENDA</t>
  </si>
  <si>
    <t>OAKLEY URBAN, LLC</t>
  </si>
  <si>
    <t>6322 ALBANY OWNER LLC</t>
  </si>
  <si>
    <t>KELLY ADDIE</t>
  </si>
  <si>
    <t>CHNADLER TED</t>
  </si>
  <si>
    <t>LEIGH KAREN</t>
  </si>
  <si>
    <t>AMOS VANESSA</t>
  </si>
  <si>
    <t>GONZALEZ ENRIQUEZ MARIO</t>
  </si>
  <si>
    <t>LENZ FRIEDEL</t>
  </si>
  <si>
    <t>MAYEROFF WILLIAM</t>
  </si>
  <si>
    <t>PACHECO PAOLA</t>
  </si>
  <si>
    <t>NORTHWESTERN MEMORIAL HOSPITAL</t>
  </si>
  <si>
    <t>LOWES HOME CENTERS</t>
  </si>
  <si>
    <t>DAVIS LACHONDRA</t>
  </si>
  <si>
    <t>TINOCO PEDRO</t>
  </si>
  <si>
    <t>HOMAN HOUSING LLC</t>
  </si>
  <si>
    <t>UNITED AIRLINES</t>
  </si>
  <si>
    <t>KRAGON STEVEN</t>
  </si>
  <si>
    <t>ARMSTRONG GERALDINE</t>
  </si>
  <si>
    <t>PRO INVEST MANAGEMENT</t>
  </si>
  <si>
    <t>GUNDA KISHORE</t>
  </si>
  <si>
    <t>NAVY PIER, INC.</t>
  </si>
  <si>
    <t>LOUELL BILL</t>
  </si>
  <si>
    <t>LIANG CHRIS</t>
  </si>
  <si>
    <t>ASTOUND BROADBAND</t>
  </si>
  <si>
    <t>ZAHNLE ERICA</t>
  </si>
  <si>
    <t>MILLION DOLLAR HIGHWAY LLC C/O NEWCASTLE INVESTORS</t>
  </si>
  <si>
    <t>POLTORAK ALEX</t>
  </si>
  <si>
    <t>BECKER KARINA</t>
  </si>
  <si>
    <t>ADVOCATE HEALTH AND HOSPITALS CORPORATION</t>
  </si>
  <si>
    <t>730 SOUTH CLARK STREE ILLINOIS VENTURE LLC</t>
  </si>
  <si>
    <t>NHS REDEVELOPMENT CORP.</t>
  </si>
  <si>
    <t>TITAN ELECTRIC LLC</t>
  </si>
  <si>
    <t>PETERS JAMES</t>
  </si>
  <si>
    <t>TAYLOR STEPHEN</t>
  </si>
  <si>
    <t>REAEDY JAY</t>
  </si>
  <si>
    <t>TITLEHOLDER LLC 320 SOUTH CANAL</t>
  </si>
  <si>
    <t>VILLEGAS EDUARDO</t>
  </si>
  <si>
    <t>MEJIA GERARDO</t>
  </si>
  <si>
    <t>JONES BENJAMIN</t>
  </si>
  <si>
    <t>SCHRECK MATT</t>
  </si>
  <si>
    <t>GONZALEZ MARIA</t>
  </si>
  <si>
    <t>BLANCAS CRUZ SANDRA</t>
  </si>
  <si>
    <t>ARMSTRONG OWEN GROUP LLC</t>
  </si>
  <si>
    <t>RAMERIZ KATRINA</t>
  </si>
  <si>
    <t>HOPKINS DENNIS</t>
  </si>
  <si>
    <t>MORENO JOSE</t>
  </si>
  <si>
    <t>SODA CHRIS</t>
  </si>
  <si>
    <t>JAWAD ALI</t>
  </si>
  <si>
    <t>3726 N. ASHLAND, LLC</t>
  </si>
  <si>
    <t>HLEPAS GEORJEAN</t>
  </si>
  <si>
    <t>WILLIAMS ANGELA</t>
  </si>
  <si>
    <t>TOLEDO SANTIAGO</t>
  </si>
  <si>
    <t>JAEL JOHN PAUL</t>
  </si>
  <si>
    <t>SAGE ANTHONY</t>
  </si>
  <si>
    <t>MAGNA JONATHAN</t>
  </si>
  <si>
    <t>LEBOVITZ ANDY</t>
  </si>
  <si>
    <t>ABDULLA SAEED</t>
  </si>
  <si>
    <t>LEONARD DARLENE</t>
  </si>
  <si>
    <t>MCELROY LILLIE</t>
  </si>
  <si>
    <t>CHOW WING</t>
  </si>
  <si>
    <t>DICKERSON DEON</t>
  </si>
  <si>
    <t>GREEN PROPERTY ACQUISITIONS LLC</t>
  </si>
  <si>
    <t>THE AMBASSADOR CONDOMINIUM ASSOCIATION</t>
  </si>
  <si>
    <t>WEEMS HOLLY</t>
  </si>
  <si>
    <t>DITTEMORE KATHRYN</t>
  </si>
  <si>
    <t>PEREZ ENRIQUE</t>
  </si>
  <si>
    <t>BOYK KAREN</t>
  </si>
  <si>
    <t>SANPIETRO BRETT</t>
  </si>
  <si>
    <t>ADAMS III B.J.</t>
  </si>
  <si>
    <t>GRANT MERICA</t>
  </si>
  <si>
    <t>HORTON BIERONSKI NILA M</t>
  </si>
  <si>
    <t>ZUNIGA ANDREA</t>
  </si>
  <si>
    <t>DURNBAUGH TIMOTHY</t>
  </si>
  <si>
    <t>SEALS ESTEFANIA</t>
  </si>
  <si>
    <t>HILL DORA</t>
  </si>
  <si>
    <t>SPURLOCK TERRELL</t>
  </si>
  <si>
    <t>MARROQUIN DANNY</t>
  </si>
  <si>
    <t>GNUSCHKE JOHN</t>
  </si>
  <si>
    <t>PINKNEY SR STANLEY E</t>
  </si>
  <si>
    <t>BENNETT ROBERT</t>
  </si>
  <si>
    <t>DELUNA GRISELDA</t>
  </si>
  <si>
    <t>RAMIREZ OMAR</t>
  </si>
  <si>
    <t>MEISTER JACOB</t>
  </si>
  <si>
    <t>BRYANT YOUMIKA</t>
  </si>
  <si>
    <t>LINE VOLTAGE ELECTRICAL WORK. ADD 1 CIRCUITS TO EXISTING 200 AMP SERVICE DISCONNECTING MEANS. RECEPTACLE OUTLETS: 1 . LIGHTING OUTLETS: 0. ELECTRIC VEHICLE SUPPLY EQUIPMENT:1 SPACES. SPECIFIC LOCATION: GARAGE.</t>
  </si>
  <si>
    <t>LINE VOLTAGE ELECTRICAL WORK. REPAIR OR ALTER DEVICES ON EXISTING CIRCUITS. RECEPTACLE OUTLETS: 1 . LIGHTING OUTLETS: 0. ELECTRIC VEHICLE SUPPLY EQUIPMENT:1 SPACES. SPECIFIC LOCATION: DEDICATED PARKING SPACE FOR UNIT 409.</t>
  </si>
  <si>
    <t>INSTALL SOLAR PANELS ON ROOF OF PRINCIPAL BUILDING. ROOF TYPE: SLOPED (2:12 TO 5:12). INVERTER OUTPUT: 10 KW. ARRAY OUTPUT: 4.51 KW.   INCLUDES 13.5 KWH ENERGY STORAGE SYSTEM.  LOCATION: ROOF PLANES OF HOME. ICC DISTRIBUTED GENERATION INSTALLER CERT. #18-0817. | SPECIAL CONDITION: * NEC REFERENCES TO BE OMITTED FROM DRAWINGS, ALL GENERAL ELECTRICAL NOTES SHALL REFERENCE CEC 2018. * REFER TO ELECTRICAL PERMIT B200438743.* ALL EQUIPMENT, CONNECTORS, RACEWAYS, TAPS, MUST BE LISTED AND LABELED FOR USE.</t>
  </si>
  <si>
    <t>SCOPE: ROOF RECOVER. AREA: 4500 SQ. FT. ROOF COVERING: MINERAL - SURFACED ROLL ROOFING. LOCATION: BUILDING'S ROOF. IL ROOFING CONTRACTOR LICENSE: 104018089.</t>
  </si>
  <si>
    <t>LINE VOLTAGE ELECTRICAL WORK. NEW PERMANENT 48 AMP SERVICE DISCONNECTING MEANS WITH 1 CIRCUITS. RECEPTACLE OUTLETS: 1 . LIGHTING OUTLETS: 0. 11.5 KWH LITHIUM ION ENERGY STORAGE SYSTEM. SPECIFIC LOCATION: SOUTH SIDE OF THE HOUSE.</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</si>
  <si>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SOLAR (ACCESSORY) PERMIT B200439255 AND ELECTRICAL PERMIT B200438922.* UNDERGROUND RACEWAY TO BE INSPECTED BY AHJ PRIOR TO COVERING. * ALL EQUIPMENT, CONNECTORS, RACEWAYS, TAPS, MUST BE LISTED AND LABELED FOR USE.</t>
  </si>
  <si>
    <t>REPAIR OR IN-KIND REPLACEMENT OF 0 PLUMBING FIXTURES AS DESCRIBED IN PERMIT APPLICATION.  INCLUDES REPAIR OR REPLACMENT OF PLUMBING PIPING.  LOCATIONS: 1 RESIDENTIAL UNIT(S), 1 NON-RESIDENTIAL UNIT(S), 1 INTERIOR COMMON AREAS, HOUSE AND BASEMENT.</t>
  </si>
  <si>
    <t>LINE VOLTAGE ELECTRICAL WORK. NEW PERMANENT 15 AMP SERVICE DISCONNECTING MEANS WITH 1 CIRCUITS. RECEPTACLE OUTLETS: 1 . LIGHTING OUTLETS: 0. SPECIFIC LOCATION: WEST SIDE OF THE HOUSE.</t>
  </si>
  <si>
    <t>LINE VOLTAGE ELECTRICAL WORK. NEW PERMANENT 100 AMP SERVICE DISCONNECTING MEANS WITH 1 CIRCUITS. RECEPTACLE OUTLETS: 1 . LIGHTING OUTLETS: 0. SPECIFIC LOCATION: BASEMENT.</t>
  </si>
  <si>
    <t>INSTALL SOLAR PANELS ON ROOF OF PRINCIPAL BUILDING. ROOF TYPE: SLOPED (2:12 TO 5:12). INVERTER OUTPUT: 10 KW. ARRAY OUTPUT: 6.56 KW.   INCLUDES 13.5 KWH ENERGY STORAGE SYSTEM.  LOCATION: ROOF PLANES OF HOME. ICC DISTRIBUTED GENERATION INSTALLER CERT. #18-0817. | SPECIAL CONDITION: * NEC REFERENCES TO BE OMITTED FROM DRAWINGS, ALL GENERAL ELECTRICAL NOTES SHALL REFERENCE CEC 2018. * REFER TO ELECTRICAL PERMIT B200439254.* ALL EQUIPMENT, CONNECTORS, RACEWAYS, TAPS, MUST BE LISTED AND LABELED FOR USE.</t>
  </si>
  <si>
    <t>INSTALL SOLAR PANELS ON ROOF OF PRINCIPAL BUILDING. ROOF TYPE: SLOPED (2:12 TO 5:12). INVERTER OUTPUT: 11.5 KW. ARRAY OUTPUT: 11.07 KW.   INCLUDES 13.5 KWH ENERGY STORAGE SYSTEM.  LOCATION: ROOF PLANES OF HOME. ICC DISTRIBUTED GENERATION INSTALLER CERT. #18-0817. | SPECIAL CONDITION: * NEC REFERENCES TO BE OMITTED FROM DRAWINGS, ALL GENERAL ELECTRICAL NOTES SHALL REFERENCE CEC 2018. * REFER TO SOLAR (ACCESSORY) PERMIT B200439212 AND ELECTRICAL PERMIT B200439130.* UNDERGROUND RACEWAY TO BE INSPECTED BY AHJ PRIOR TO COVERING. * ALL EQUIPMENT, CONNECTORS, RACEWAYS, TAPS, MUST BE LISTED AND LABELED FOR USE.</t>
  </si>
  <si>
    <t>INSTALL SOLAR PANELS ON ROOF OF ACCESSORY BUILDING. ROOF TYPE: SLOPED (2:12 TO 5:12). INVERTER OUTPUT: 11.5 KW. ARRAY OUTPUT: 3.69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B200439211 AND ELECTRICAL PERMIT B200439130.* UNDERGROUND RACEWAY TO BE INSPECTED BY AHJ PRIOR TO COVERING. * ALL EQUIPMENT, CONNECTORS, RACEWAYS, TAPS, MUST BE LISTED AND LABELED FOR USE.</t>
  </si>
  <si>
    <t>INSTALL SOLAR PANELS ON ROOF OF ACCESSORY BUILDING. ROOF TYPE: LOW-SLOPED (&lt;2:12). INVERTER OUTPUT: 4.35 KW. ARRAY OUTPUT: 6.375 KW.  LOCATION: DETACHED ROOF. ICC DISTRIBUTED GENERATION INSTALLER CERT. #25-0072. | SPECIAL CONDITION: * PLEASE APPLY FOR ELECTRICAL PERMIT PRIOR TO SOLAR INSPECTION AND HAVE PRESENT ON DATE OF INSPECTION OR RISK FAILURE AS PROPOSED WORK PER ELECTRICAL DRAWING.* NEC REFERENCES TO BE OMITTED FROM DRAWINGS, ALL GENERAL ELECTRICAL NOTES SHALL REFERENCE CEC 2018. * REFER TO SOLAR (PRINCIPAL) PERMIT B200439228.* UNDERGROUND RACEWAY TO BE INSPECTED BY AHJ PRIOR TO COVERING. * ALL EQUIPMENT, CONNECTORS, RACEWAYS, TAPS, MUST BE LISTED AND LABELED FOR USE.</t>
  </si>
  <si>
    <t>INSTALL SOLAR PANELS ON ROOF OF PRINCIPAL BUILDING. ROOF TYPE: LOW-SLOPED (&lt;2:12). INVERTER OUTPUT: 5.51 KW. ARRAY OUTPUT: 8.075 KW.  LOCATION: MAIN ROOF AND EXTERIOR. ICC DISTRIBUTED GENERATION INSTALLER CERT. #25-0072. | SPECIAL CONDITION: * PLEASE APPLY FOR ELECTRICAL PERMIT PRIOR TO SOLAR INSPECTION AND HAVE PRESENT ON DATE OF INSPECTION OR RISK FAILURE AS PROPOSED WORK PER ELECTRICAL DRAWING.* NEC REFERENCES TO BE OMITTED FROM DRAWINGS, ALL GENERAL ELECTRICAL NOTES SHALL REFERENCE CEC 2018. * REFER TO SOLAR (ACCESSORY) PERMIT B200439213.* UNDERGROUND RACEWAY TO BE INSPECTED BY AHJ PRIOR TO COVERING. * ALL EQUIPMENT, CONNECTORS, RACEWAYS, TAPS, MUST BE LISTED AND LABELED FOR USE.</t>
  </si>
  <si>
    <t>LINE VOLTAGE ELECTRICAL WORK. REPAIR OR ALTER DEVICES ON EXISTING CIRCUITS. RECEPTACLE OUTLETS: 40 . LIGHTING OUTLETS: 25. SPECIFIC LOCATION: ENTIRE FLOOR OF THE 6000 W GUNNISON.</t>
  </si>
  <si>
    <t>INSTALL SOLAR PANELS ON ROOF OF PRINCIPAL BUILDING. ROOF TYPE: SLOPED (2:12 TO 5:12). INVERTER OUTPUT: 5 KW. ARRAY OUTPUT: 5.07 KW.  LOCATION: ROOF OF HOUSE. ICC DISTRIBUTED GENERATION INSTALLER CERT. #19-0021. | SPECIAL CONDITION: * PLEASE APPLY FOR ELECTRICAL PERMIT PRIOR TO SOLAR INSPECTION AND HAVE PRESENT ON DATE OF INSPECTION OR RISK FAILURE AS PROPOSED WORK PER ELECTRICAL DRAWING.* NEC REFERENCES TO BE OMITTED FROM DRAWINGS, ALL GENERAL ELECTRICAL NOTES SHALL REFERENCE CEC 2018* ALL EQUIPMENT, CONNECTORS, RACEWAYS, TAPS, MUST BE LISTED AND LABELED FOR USE.</t>
  </si>
  <si>
    <t>LINE VOLTAGE ELECTRICAL WORK. REPAIR OR ALTER DEVICES ON EXISTING CIRCUITS. RECEPTACLE OUTLETS: 2 . LIGHTING OUTLETS: 0. SPECIFIC LOCATION: UNIT 610: WORK IN GARAGE, PKNG SPT P2-25.</t>
  </si>
  <si>
    <t>LINE VOLTAGE ELECTRICAL WORK. REPAIR OR ALTER DEVICES ON EXISTING CIRCUITS. RECEPTACLE OUTLETS: 1 . LIGHTING OUTLETS: 0. SPECIFIC LOCATION: BASEMENT.</t>
  </si>
  <si>
    <t>FULL REBUILD (SAME AS EXISTING) FOR WOOD EXTERIOR STAIRWAY (QUANTITY: 1, LOCATION: FRONT OF BUILDING).  LANDING: 20 SQUARE FEET.  LANDING NOT MORE THAN 6 FEET ABOVE GROUND.</t>
  </si>
  <si>
    <t>LINE VOLTAGE ELECTRICAL WORK. REPAIR OR ALTER DEVICES ON EXISTING CIRCUITS. RECEPTACLE OUTLETS: 1 . LIGHTING OUTLETS: 1. SPECIFIC LOCATION: BASEMENT.</t>
  </si>
  <si>
    <t>LINE VOLTAGE ELECTRICAL WORK. NEW PERMANENT 125 AMP SERVICE DISCONNECTING MEANS WITH 1 CIRCUITS. RECEPTACLE OUTLETS: 1 . LIGHTING OUTLETS: 0. 13.5 KWH LITHIUM ION ENERGY STORAGE SYSTEM. SPECIFIC LOCATION: EXTERIOR WALL.</t>
  </si>
  <si>
    <t>INSTALL SOLAR PANELS ON ROOF OF ACCESSORY BUILDING. ROOF TYPE: SLOPED (2:12 TO 5:12). INVERTER OUTPUT: 10 KW. ARRAY OUTPUT: 2.46 KW.   INCLUDES 13.5 KWH ENERGY STORAGE SYSTEM.  LOCATION: DETACHED GARAGE. ICC DISTRIBUTED GENERATION INSTALLER CERT. #18-0817. | SPECIAL CONDITION: * NEC REFERENCES TO BE OMITTED FROM DRAWINGS, ALL GENERAL ELECTRICAL NOTES SHALL REFERENCE CEC 2018. * REFER TO SOLAR (PRINCIPAL) PERMIT B200439191 AND ELECTRICAL PERMIT B200438922.* UNDERGROUND RACEWAY TO BE INSPECTED BY AHJ PRIOR TO COVERING. * ALL EQUIPMENT, CONNECTORS, RACEWAYS, TAPS, MUST BE LISTED AND LABELED FOR USE.</t>
  </si>
  <si>
    <t>LINE VOLTAGE ELECTRICAL WORK. REPAIR OR ALTER DEVICES ON EXISTING CIRCUITS. RECEPTACLE OUTLETS: 2 . LIGHTING OUTLETS: 2. SPECIFIC LOCATION: 1ST, 2ND, 3RD LEVELS AND BASEMENT.</t>
  </si>
  <si>
    <t>INSTALL SOLAR PANELS ON ROOF OF PRINCIPAL BUILDING. ROOF TYPE: SLOPED (2:12 TO 5:12). INVERTER OUTPUT: 10 KW. ARRAY OUTPUT: 5.74 KW.   INCLUDES 13.5 KWH ENERGY STORAGE SYSTEM.  LOCATION: ROOF PLANES OF HOME. ICC DISTRIBUTED GENERATION INSTALLER CERT. #18-0817. | SPECIAL CONDITION: * NEC REFERENCES TO BE OMITTED FROM DRAWINGS, ALL GENERAL ELECTRICAL NOTES SHALL REFERENCE CEC 2018. * REFER TO ELECTRICAL PERMIT B200439268.* ALL EQUIPMENT, CONNECTORS, RACEWAYS, TAPS, MUST BE LISTED AND LABELED FOR USE.</t>
  </si>
  <si>
    <t>LINE VOLTAGE ELECTRICAL WORK. NEW PERMANENT 100 AMP SERVICE DISCONNECTING MEANS WITH 1 CIRCUITS. RECEPTACLE OUTLETS: 1 . LIGHTING OUTLETS: 0. 13.5 KWH LITHIUM ION ENERGY STORAGE SYSTEM. SPECIFIC LOCATION: EXTERIOR WALL.</t>
  </si>
  <si>
    <t>LOW VOLTAGE/COMMUNICATION ELECTRICAL WORK. INSTALL DATA/VIDEO. SPECIFIC LOCATION: FLOORS 18,19,24,25,26,27,29,30,31,32,34,35,37,38.</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</si>
  <si>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B200438750.* ALL EQUIPMENT, CONNECTORS, RACEWAYS, TAPS, MUST BE LISTED AND LABELED FOR USE.</t>
  </si>
  <si>
    <t>PURPOSE: LEGALIZE UNPERMITTED WORK.  WROUGHT IRON FENCE - 6'-0' ' (HEIGHT) X 80'-0' ' (LENGTH).  WOOD FENCE - 6'-0' ' (HEIGHT) X 165'-0' ' (LENGTH).  LOCATION: REAR AND FRONT YARD.</t>
  </si>
  <si>
    <t>LIMITED REPAIR (25% OR LESS) FOR WOOD PORCH (OPEN) (QUANTITY: 1, LOCATION: REAR OF BUILDING).</t>
  </si>
  <si>
    <t>LOW VOLTAGE/COMMUNICATION ELECTRICAL WORK. ALTER EXISTING SECURITY. SPECIFIC LOCATION: ADD TO BURGLAR ALARM AND CCTV INDOOR INSTALLATION.</t>
  </si>
  <si>
    <t>INSTALL SOLAR PANELS ON ROOF OF PRINCIPAL BUILDING. ROOF TYPE: SLOPED (2:12 TO 5:12). INVERTER OUTPUT: 10 KW. ARRAY OUTPUT: 8.2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B200439284 AND ELECTRICAL PERMIT B200439137.* UNDERGROUND RACEWAY TO BE INSPECTED BY AHJ PRIOR TO COVERING. * ALL EQUIPMENT, CONNECTORS, RACEWAYS, TAPS, MUST BE LISTED AND LABELED FOR USE.</t>
  </si>
  <si>
    <t>LINE VOLTAGE ELECTRICAL WORK. NEW PERMANENT 100 AMP SERVICE DISCONNECTING MEANS WITH 1 CIRCUITS. RECEPTACLE OUTLETS: 1 . LIGHTING OUTLETS: 1. SPECIFIC LOCATION: BASEMENT.</t>
  </si>
  <si>
    <t>INSTALL SOLAR PANELS ON ROOF OF ACCESSORY BUILDING. ROOF TYPE: SLOPED (2:12 TO 5:12). INVERTER OUTPUT: 10 KW. ARRAY OUTPUT: 6.56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B200439282 AND ELECTRICAL PERMIT B200439137.* UNDERGROUND RACEWAY TO BE INSPECTED BY AHJ PRIOR TO COVERING. * ALL EQUIPMENT, CONNECTORS, RACEWAYS, TAPS, MUST BE LISTED AND LABELED FOR USE.</t>
  </si>
  <si>
    <t>LINE VOLTAGE ELECTRICAL WORK. NEW PERMANENT 100 AMP SERVICE DISCONNECTING MEANS WITH 2 CIRCUITS. RECEPTACLE OUTLETS: 1 . LIGHTING OUTLETS: 1. SPECIFIC LOCATION: GARAGE.</t>
  </si>
  <si>
    <t>LINE VOLTAGE ELECTRICAL WORK. INSTALL TEMPORARY 70 KW DIESEL GENERATOR. RECEPTACLE OUTLETS: 0 . LIGHTING OUTLETS: 0. SPECIFIC LOCATION: LOT K.</t>
  </si>
  <si>
    <t>INSTALL SOLAR PANELS ON ROOF OF PRINCIPAL BUILDING. ROOF TYPE: SLOPED (2:12 TO 5:12). INVERTER OUTPUT: 10 KW. ARRAY OUTPUT: 11.89 KW.   INCLUDES 13.5 KWH ENERGY STORAGE SYSTEM.  LOCATION: ROOF PLANES OF HOME. ICC DISTRIBUTED GENERATION INSTALLER CERT. #18-0817. | SPECIAL CONDITION: * NEC REFERENCES TO BE OMITTED FROM DRAWINGS, ALL GENERAL ELECTRICAL NOTES SHALL REFERENCE CEC 2018. * REFER TO ELECTRICAL PERMIT B200439308.* ALL EQUIPMENT, CONNECTORS, RACEWAYS, TAPS, MUST BE LISTED AND LABELED FOR USE.</t>
  </si>
  <si>
    <t>LINE VOLTAGE ELECTRICAL WORK. REPAIR OR ALTER DEVICES ON EXISTING CIRCUITS. RECEPTACLE OUTLETS: 1 . LIGHTING OUTLETS: 1. SPECIFIC LOCATION: INTERIOR.</t>
  </si>
  <si>
    <t>LINE VOLTAGE ELECTRICAL WORK. NEW PERMANENT 200 AMP SERVICE DISCONNECTING MEANS WITH 1 CIRCUITS. RECEPTACLE OUTLETS: 1 . LIGHTING OUTLETS: 1. SPECIFIC LOCATION: REAR OF BUILDING AND BASEMENT.</t>
  </si>
  <si>
    <t>FULL REBUILD (SAME AS EXISTING) FOR WOOD EXTERIOR BALCONY (QUANTITY: 1, LOCATION: REAR OF BUILDING). FULL REBUILD (SAME AS EXISTING) FOR WOOD PORCH (OPEN) (QUANTITY: 1, LOCATION: FRONT OF BUILDING).  LANDING: 169 SQUARE FEET.</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</si>
  <si>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ELECTRICAL PERMIT B200439342.* ALL EQUIPMENT, CONNECTORS, RACEWAYS, TAPS, MUST BE LISTED AND LABELED FOR USE.</t>
  </si>
  <si>
    <t>REPAIR OR IN-KIND REPLACEMENT OF 12 PLUMBING FIXTURES AS DESCRIBED IN PERMIT APPLICATION.  LOCATIONS: 3 RESIDENTIAL UNIT(S), 0 NON-RESIDENTIAL UNIT(S), 305 BUILDING ONLY.</t>
  </si>
  <si>
    <t>LINE VOLTAGE ELECTRICAL WORK. NEW PERMANENT 200 AMP SERVICE DISCONNECTING MEANS WITH 1 CIRCUITS. RECEPTACLE OUTLETS: 1 . LIGHTING OUTLETS: 0. 13.5 KWH LITHIUM ION ENERGY STORAGE SYSTEM. SPECIFIC LOCATION: EXTERIOR WALL.</t>
  </si>
  <si>
    <t>INSTALL SOLAR PANELS ON ROOF OF PRINCIPAL BUILDING. ROOF TYPE: SLOPED (2:12 TO 5:12). INVERTER OUTPUT: 10 KW. ARRAY OUTPUT: 8.61 KW.   INCLUDES 13.5 KWH ENERGY STORAGE SYSTEM.  LOCATION: ROOF PANELS. ICC DISTRIBUTED GENERATION INSTALLER CERT. #18-0817. | SPECIAL CONDITION: * NEC REFERENCES TO BE OMITTED FROM DRAWINGS, ALL GENERAL ELECTRICAL NOTES SHALL REFERENCE CEC 2018. * REFER TO ELECTRICAL PERMIT B200438891.* ALL EQUIPMENT, CONNECTORS, RACEWAYS, TAPS, MUST BE LISTED AND LABELED FOR USE.</t>
  </si>
  <si>
    <t>REPAIR OR IN-KIND REPLACEMENT OF 17 PLUMBING FIXTURES AS DESCRIBED IN PERMIT APPLICATION.  REPAIR OR IN-KIND REPLACEMENT OF HOT WATER HEATER(S).  INCLUDES REPAIR OR REPLACMENT OF PLUMBING PIPING.  INCLUDES REPAIR OR REPLACEMENT OF PLUMBING RISERS IN EXISTING CHASES.  LOCATIONS: 3 RESIDENTIAL UNIT(S), 0 NON-RESIDENTIAL UNIT(S), WATER DAMAGE REPAIR WORK -  3 UNITS.</t>
  </si>
  <si>
    <t>INSTALL SOLAR PANELS ON ROOF OF PRINCIPAL BUILDING. ROOF TYPE: STEEP (&gt;5:12). INVERTER OUTPUT: 10 KW. ARRAY OUTPUT: 13.12 KW.   INCLUDES 13.5 KWH ENERGY STORAGE SYSTEM.  LOCATION: ROOF PANELS. ICC DISTRIBUTED GENERATION INSTALLER CERT. #18-0817. | SPECIAL CONDITION: * NEC REFERENCES TO BE OMITTED FROM DRAWINGS, ALL GENERAL ELECTRICAL NOTES SHALL REFERENCE CEC 2018. * REFER TO ELECTRICAL PERMIT B200438894.* ALL EQUIPMENT, CONNECTORS, RACEWAYS, TAPS, MUST BE LISTED AND LABELED FOR USE.</t>
  </si>
  <si>
    <t>SCOPE: ROOF RECOVER. AREA: 39000 SQ. FT. ROOF COVERING: OTHER. LOCATION: ROOF TOP. IL ROOFING CONTRACTOR LICENSE: 104004204.</t>
  </si>
  <si>
    <t>LOW VOLTAGE/COMMUNICATION ELECTRICAL WORK. INSTALL DATA/VIDEO. SPECIFIC LOCATION: 23RD FLOOR.</t>
  </si>
  <si>
    <t>SCOPE: ROOF REPLACEMENT. AREA: 66 SQ. FT. ROOF COVERING: OTHER. LOCATION: ROOFING. IL ROOFING CONTRACTOR LICENSE: 104018969.</t>
  </si>
  <si>
    <t>INSTALL SOLAR PANELS ON ROOF OF PRINCIPAL BUILDING. ROOF TYPE: SLOPED (2:12 TO 5:12). INVERTER OUTPUT: 10 KW. ARRAY OUTPUT: 4.1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B200439367 AND ELECTRICAL PERMIT B200439371.* UNDERGROUND RACEWAY TO BE INSPECTED BY AHJ PRIOR TO COVERING. * ALL EQUIPMENT, CONNECTORS, RACEWAYS, TAPS, MUST BE LISTED AND LABELED FOR USE.</t>
  </si>
  <si>
    <t>NEW DETACHED WOOD FRAME GARAGE. DIMENSIONS AND SETBACKS PER APPLICATION. BUILDING OUTSIDE DIMENSIONS: 20'-0' ' X24'-0' '. HIP ROOF HEIGHT TO PEAK: 12'-6' '.</t>
  </si>
  <si>
    <t>FULL REBUILD (SAME AS EXISTING) FOR WOOD PORCH (OPEN) (QUANTITY: 1, LOCATION: REAR OF BUILDING).</t>
  </si>
  <si>
    <t>INSTALL SOLAR PANELS ON ROOF OF ACCESSORY BUILDING. ROOF TYPE: SLOPED (2:12 TO 5:12). INVERTER OUTPUT: 10 KW. ARRAY OUTPUT: 4.51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B200439363 AND ELECTRICAL PERMIT B200439371.* UNDERGROUND RACEWAY TO BE INSPECTED BY AHJ PRIOR TO COVERING. * ALL EQUIPMENT, CONNECTORS, RACEWAYS, TAPS, MUST BE LISTED AND LABELED FOR USE.</t>
  </si>
  <si>
    <t>LIMITED REPAIR (25% OR LESS) FOR WOOD PORCH (OPEN) (QUANTITY: 1, LOCATION: FRONT OF BUILDING).  LANDING: 79 SQUARE FEET.  LANDING NOT MORE THAN 6 FEET ABOVE GROUND.</t>
  </si>
  <si>
    <t>LINE VOLTAGE ELECTRICAL WORK. NEW PERMANENT 100 AMP SERVICE DISCONNECTING MEANS WITH 1 CIRCUITS. RECEPTACLE OUTLETS: 1 . LIGHTING OUTLETS: 0. 13.5 KWH LITHIUM ION ENERGY STORAGE SYSTEM. SPECIFIC LOCATION: EXTERIOR.</t>
  </si>
  <si>
    <t>SCOPE: ROOF REPLACEMENT. AREA: 2630 SQ. FT. ROOF COVERING: ASPHALT SHINGLES. LOCATION: 3604 W 111TH ST, CHICAGO IL, ROOF. IL ROOFING CONTRACTOR LICENSE: 104019663.</t>
  </si>
  <si>
    <t>PURPOSE: NEW/REPLACEMENT INSTALLATION. WOOD FENCE - 6'-0' ' (HEIGHT) X 36'-0' ' (LENGTH). LOCATION: BACK YARD FENCE.</t>
  </si>
  <si>
    <t>INSTALL SOLAR PANELS ON ROOF OF PRINCIPAL BUILDING. ROOF TYPE: SLOPED (2:12 TO 5:12). INVERTER OUTPUT: 10 KW. ARRAY OUTPUT: 4.92 KW.   INCLUDES 13.5 KWH ENERGY STORAGE SYSTEM.  LOCATION: ROOF PLANES OF HOME. ICC DISTRIBUTED GENERATION INSTALLER CERT. #18-0817. | SPECIAL CONDITION: * NEC REFERENCES TO BE OMITTED FROM DRAWINGS, ALL GENERAL ELECTRICAL NOTES SHALL REFERENCE CEC 2018. * REFER TO ELECTRICAL PERMIT B200439149.* ALL EQUIPMENT, CONNECTORS, RACEWAYS, TAPS, MUST BE LISTED AND LABELED FOR USE.</t>
  </si>
  <si>
    <t>INSTALL SOLAR PANELS ON ROOF OF PRINCIPAL BUILDING. ROOF TYPE: STEEP (&gt;5:12). INVERTER OUTPUT: 10 KW. ARRAY OUTPUT: 4.51 KW.   INCLUDES 13.5 KWH ENERGY STORAGE SYSTEM.  LOCATION: ROOF PANELS. ICC DISTRIBUTED GENERATION INSTALLER CERT. #18-0817. | SPECIAL CONDITION: * NEC REFERENCES TO BE OMITTED FROM DRAWINGS, ALL GENERAL ELECTRICAL NOTES SHALL REFERENCE CEC 2018. * REFER TO ELECTRICAL PERMIT B200439396.* ALL EQUIPMENT, CONNECTORS, RACEWAYS, TAPS, MUST BE LISTED AND LABELED FOR USE.</t>
  </si>
  <si>
    <t>TUCKPOINTING AND UNIT MASONRY REPAIR / REPLACEMENT: 2500 SQ. FT., LINTEL QTY. 0, MAX. LENGTH 0. LOCATION: 5TH FLOOR BALCONIES.</t>
  </si>
  <si>
    <t>PURPOSE: NEW/REPLACEMENT INSTALLATION. WOOD FENCE - 6'-0' ' (HEIGHT) X 26'-5' ' (LENGTH). LOCATION: FRONT FACING YARD FENCE AND 2 YARD ENTRY GATES.</t>
  </si>
  <si>
    <t>SCOPE: ROOF REPLACEMENT. AREA: 2100 SQ. FT. ROOF COVERING: MINERAL - SURFACED ROLL ROOFING. LOCATION: FLAT ROOF. IL ROOFING CONTRACTOR LICENSE: 104003460.</t>
  </si>
  <si>
    <t>TUCKPOINTING AND UNIT MASONRY REPAIR / REPLACEMENT: 350 SQ. FT., LINTEL QTY. 0, MAX. LENGTH 0. PARAPET REBUILDING: 65 SQ. FT. LOCATION: NORTH AND SOUTH SIDE ELEVATION UPPER PARAPETS.</t>
  </si>
  <si>
    <t>PURPOSE: NEW/REPLACEMENT INSTALLATION. WROUGHT IRON FENCE - 6'-0' ' (HEIGHT) X 315'-0' ' (LENGTH). LOCATION: AROUND THE BUILDING.</t>
  </si>
  <si>
    <t>LINE VOLTAGE ELECTRICAL WORK. REPAIR OR ALTER DEVICES ON EXISTING CIRCUITS. RECEPTACLE OUTLETS: 10 . LIGHTING OUTLETS: 10. SPECIFIC LOCATION: 1ST FLOOR.</t>
  </si>
  <si>
    <t>LINE VOLTAGE ELECTRICAL WORK. REPAIR OR ALTER DEVICES ON EXISTING CIRCUITS. RECEPTACLE OUTLETS: 6 . LIGHTING OUTLETS: 0. SPECIFIC LOCATION: STOREFRONT 1755 W FULLERTON. | SPECIAL CONDITION: WORK TO BE DONE AT 1755 W FULLERTON AVE.</t>
  </si>
  <si>
    <t>LINE VOLTAGE ELECTRICAL WORK. REPAIR OR ALTER DEVICES ON EXISTING CIRCUITS. RECEPTACLE OUTLETS: 8 . LIGHTING OUTLETS: 0. SPECIFIC LOCATION: STOREFRONT.</t>
  </si>
  <si>
    <t>NEW DETACHED WOOD FRAME GARAGE. DIMENSIONS AND SETBACKS PER APPLICATION. BUILDING OUTSIDE DIMENSIONS: 22'-0' ' X22'-0' '. HIP ROOF HEIGHT TO PEAK: 12'-6' '.</t>
  </si>
  <si>
    <t>TUCKPOINTING AND UNIT MASONRY REPAIR / REPLACEMENT: 100 SQ. FT., LINTEL QTY. 50, MAX. LENGTH 0. LOCATION: FRONT OF THE BUILDING 2ND AND 3RD FLOOR.</t>
  </si>
  <si>
    <t>TUCKPOINTING AND UNIT MASONRY REPAIR / REPLACEMENT: 1000 SQ. FT., LINTEL QTY. 0, MAX. LENGTH 0. LOCATION: FRONT OF THE BUILDING.</t>
  </si>
  <si>
    <t>LINE VOLTAGE ELECTRICAL WORK. NEW PERMANENT 200 AMP SERVICE DISCONNECTING MEANS WITH 1 CIRCUITS. RECEPTACLE OUTLETS: 1 . LIGHTING OUTLETS: 1. SPECIFIC LOCATION: BASEMENT.</t>
  </si>
  <si>
    <t>LINE VOLTAGE ELECTRICAL WORK. NEW PERMANENT 100 AMP SERVICE DISCONNECTING MEANS WITH 10 CIRCUITS. RECEPTACLE OUTLETS: 10 . LIGHTING OUTLETS: 1. SPECIFIC LOCATION: ELECTRICAL SERVICE.</t>
  </si>
  <si>
    <t>LINE VOLTAGE ELECTRICAL WORK. REPAIR OR ALTER DEVICES ON EXISTING CIRCUITS. RECEPTACLE OUTLETS: 1 . LIGHTING OUTLETS: 1. SPECIFIC LOCATION: 1ST FLOOR INTERIOR.</t>
  </si>
  <si>
    <t>LINE VOLTAGE ELECTRICAL WORK. REPAIR OR ALTER DEVICES ON EXISTING CIRCUITS. RECEPTACLE OUTLETS: 1 . LIGHTING OUTLETS: 1. SPECIFIC LOCATION: GARAGE.</t>
  </si>
  <si>
    <t>NEW DETACHED WOOD FRAME GARAGE. DIMENSIONS AND SETBACKS PER APPLICATION. BUILDING OUTSIDE DIMENSIONS: 24'-0' ' X24'-0' '. GABLE ROOF HEIGHT TO PEAK: 14'-6' '.</t>
  </si>
  <si>
    <t>SCOPE: ROOF RECOVER. AREA: 5000 SQ. FT. ROOF COVERING: MINERAL - SURFACED ROLL ROOFING. LOCATION: ROOF RECOVER. IL ROOFING CONTRACTOR LICENSE: 104016993.</t>
  </si>
  <si>
    <t>TUCKPOINTING AND UNIT MASONRY REPAIR / REPLACEMENT: 1000 SQ. FT., LINTEL QTY. 0, MAX. LENGTH 0. PARAPET REBUILDING: 200 SQ. FT. LOCATION: MASONRY REPAIRS.</t>
  </si>
  <si>
    <t>LINE VOLTAGE ELECTRICAL WORK. NEW PERMANENT 150 AMP SERVICE DISCONNECTING MEANS WITH 1 CIRCUITS. RECEPTACLE OUTLETS: 1 . LIGHTING OUTLETS: 0. ELECTRIC VEHICLE SUPPLY EQUIPMENT:1 SPACES. SPECIFIC LOCATION: GARAGE.</t>
  </si>
  <si>
    <t>TUCKPOINTING AND UNIT MASONRY REPAIR / REPLACEMENT: 800 SQ. FT., LINTEL QTY. 0, MAX. LENGTH 0. LOCATION: FRONT WALL.</t>
  </si>
  <si>
    <t>LINE VOLTAGE ELECTRICAL WORK. NEW PERMANENT 100 AMP SERVICE DISCONNECTING MEANS WITH 5 CIRCUITS. RECEPTACLE OUTLETS: 1 . LIGHTING OUTLETS: 0. 13.5 KWH LITHIUM ION ENERGY STORAGE SYSTEM. SPECIFIC LOCATION: EXTERIOR, MAIN PANEL.</t>
  </si>
  <si>
    <t>PURPOSE: NEW/REPLACEMENT INSTALLATION. WOOD FENCE - 6'-0' ' (HEIGHT) X 8'-0' ' (LENGTH). LOCATION: FRONT SIDE YARD.</t>
  </si>
  <si>
    <t>SCOPE: ROOF REPLACEMENT. AREA: 1700 SQ. FT. ROOF COVERING: BUILT-UP ROOF. LOCATION: REPLACE ROOF + INSTALL 8 INCH ISO BOARD PER CODE. IL ROOFING CONTRACTOR LICENSE: 104016500.</t>
  </si>
  <si>
    <t>TUCKPOINTING AND UNIT MASONRY REPAIR / REPLACEMENT: 600 SQ. FT., LINTEL QTY. 0, MAX. LENGTH 0. LOCATION: EAST AND SOUTH ELEVATION.</t>
  </si>
  <si>
    <t>TUCKPOINTING AND UNIT MASONRY REPAIR / REPLACEMENT: 20 SQ. FT., LINTEL QTY. 0, MAX. LENGTH 0. CONCRETE MASONRY REPAIR / REPLACEMNT: 5SQ. FT., EXCAVATION = NO. LOCATION: NORTH, SOUTH, EAST AND WEST ELEVATIONS.</t>
  </si>
  <si>
    <t>SCOPE: ROOF REPLACEMENT. AREA: 2217 SQ. FT. ROOF COVERING: ASPHALT SHINGLES. LOCATION: ROOF OF HOUSE, EXCLUDING FLAT ROOF. IL ROOFING CONTRACTOR LICENSE: 104081904.</t>
  </si>
  <si>
    <t>NEW DETACHED WOOD FRAME GARAGE. DIMENSIONS AND SETBACKS PER APPLICATION. BUILDING OUTSIDE DIMENSIONS: 22'-0' ' X20'-0' '. HIP ROOF HEIGHT TO PEAK: 13'-0' '.</t>
  </si>
  <si>
    <t>LINE VOLTAGE ELECTRICAL WORK. INSTALL TEMPORARY 75 KW DIESEL GENERATOR. INSTALL TEMPORARY 75 KW DIESEL GENERATOR. INSTALL TEMPORARY 350 KW DIESEL GENERATOR. INSTALL TEMPORARY 35 KW DIESEL GENERATOR. INSTALL TEMPORARY 35 KW DIESEL GENERATOR. INSTALL TEMPORARY 35 KW DIESEL GENERATOR. INSTALL TEMPORARY 35 KW DIESEL GENERATOR. INSTALL TEMPORARY 35 KW DIESEL GENERATOR. INSTALL TEMPORARY 35 KW DIESEL GENERATOR. INSTALL TEMPORARY 35 KW DIESEL GENERATOR. RECEPTACLE OUTLETS: 0 . LIGHTING OUTLETS: 0. SPECIFIC LOCATION: STREET EVENT.</t>
  </si>
  <si>
    <t>PURPOSE: NEW/REPLACEMENT INSTALLATION. VINYL/PVC FENCE - 6'-0' ' (HEIGHT) X 79'-0' ' (LENGTH). LOCATION: REAR SIDE OF THE PROPERTY. BACKYARD..</t>
  </si>
  <si>
    <t>LINE VOLTAGE ELECTRICAL WORK. NEW PERMANENT 200 AMP SERVICE DISCONNECTING MEANS WITH 1 CIRCUITS. RECEPTACLE OUTLETS: 1 . LIGHTING OUTLETS: 0. 13.5 KWH LITHIUM ION ENERGY STORAGE SYSTEM. SPECIFIC LOCATION: EXTERIOR, MAIN PANEL.</t>
  </si>
  <si>
    <t>REPAIR OR IN-KIND REPLACEMENT OF 9 PLUMBING FIXTURES AS DESCRIBED IN PERMIT APPLICATION.  INCLUDES REPAIR OR REPLACMENT OF PLUMBING PIPING.  INCLUDES REPAIR OR REPLACEMENT OF PLUMBING RISERS IN EXISTING CHASES.  LOCATIONS: 1 RESIDENTIAL UNIT(S), 0 NON-RESIDENTIAL UNIT(S), KITCHEN 1ST FLOOR, 4 BATHROOMS BASEMENT, 1ST &amp; 2ND.</t>
  </si>
  <si>
    <t>PURPOSE: NEW/REPLACEMENT INSTALLATION. WOOD FENCE - 6'-0' ' (HEIGHT) X 230'-0' ' (LENGTH). LOCATION: OUTSIDE OF HOME.</t>
  </si>
  <si>
    <t>LINE VOLTAGE ELECTRICAL WORK. REPAIR OR ALTER DEVICES ON EXISTING CIRCUITS. RECEPTACLE OUTLETS: 0 . LIGHTING OUTLETS: 1. SPECIFIC LOCATION: FIRST FLOOR.</t>
  </si>
  <si>
    <t>INSTALL SOLAR PANELS ON ROOF OF PRINCIPAL BUILDING. ROOF TYPE: STEEP (&gt;5:12). INVERTER OUTPUT: 11.5 KW. ARRAY OUTPUT: 15.99 KW.   INCLUDES 13.5 KWH ENERGY STORAGE SYSTEM.  LOCATION: ROOF PLANES OF HOME. ICC DISTRIBUTED GENERATION INSTALLER CERT. #18-0817. | SPECIAL CONDITION: * NEC REFERENCES TO BE OMITTED FROM DRAWINGS, ALL GENERAL ELECTRICAL NOTES SHALL REFERENCE CEC 2018. * REFER TO ELECTRICAL PERMIT B200439596.* ALL EQUIPMENT, CONNECTORS, RACEWAYS, TAPS, MUST BE LISTED AND LABELED FOR USE.</t>
  </si>
  <si>
    <t>SCOPE: ROOF REPLACEMENT. AREA: 30 SQ. FT. ROOF COVERING: ASPHALT SHINGLES. LOCATION: TEAR OFF AND RE-ROOF THE HOME. IL ROOFING CONTRACTOR LICENSE: 104018969.</t>
  </si>
  <si>
    <t>LINE VOLTAGE ELECTRICAL WORK. NEW PERMANENT 200 AMP SERVICE DISCONNECTING MEANS WITH 1 CIRCUITS. RECEPTACLE OUTLETS: 1 . LIGHTING OUTLETS: 0. 13.5 KWH LITHIUM ION ENERGY STORAGE SYSTEM. SPECIFIC LOCATION: EXTERIOR, SERVICE CONDUCTOR.</t>
  </si>
  <si>
    <t>LINE VOLTAGE ELECTRICAL WORK. NEW PERMANENT 100 AMP SERVICE DISCONNECTING MEANS WITH 1 CIRCUITS. RECEPTACLE OUTLETS: 1 . LIGHTING OUTLETS: 0. 13.5 KWH LITHIUM ION ENERGY STORAGE SYSTEM. SPECIFIC LOCATION: EXTERIOR, SERVICE CONDUCTOR.</t>
  </si>
  <si>
    <t>PURPOSE: NEW/REPLACEMENT INSTALLATION. WOOD FENCE - 6'-0' ' (HEIGHT) X 85'-0' ' (LENGTH). LOCATION: BACKYARD FENCE.</t>
  </si>
  <si>
    <t>LINE VOLTAGE ELECTRICAL WORK. NEW PERMANENT 200 AMP SERVICE DISCONNECTING MEANS WITH 40 CIRCUITS. RECEPTACLE OUTLETS: 1 . LIGHTING OUTLETS: 0. SPECIFIC LOCATION: BASEMENT.</t>
  </si>
  <si>
    <t>LINE VOLTAGE ELECTRICAL WORK. NEW PERMANENT 125 AMP SERVICE DISCONNECTING MEANS WITH 1 CIRCUITS. RECEPTACLE OUTLETS: 0 . LIGHTING OUTLETS: 1. SPECIFIC LOCATION: MAIN HOUSE.</t>
  </si>
  <si>
    <t>LINE VOLTAGE ELECTRICAL WORK. REPAIR OR ALTER DEVICES ON EXISTING CIRCUITS. RECEPTACLE OUTLETS: 5 . LIGHTING OUTLETS: 0. SPECIFIC LOCATION: UNIT# 25R: KITCHEN AREA.</t>
  </si>
  <si>
    <t>SCOPE: ROOF REPLACEMENT. AREA: 1500 SQ. FT. ROOF COVERING: ASPHALT SHINGLES. LOCATION: ROOF AND GUTTERS. IL ROOFING CONTRACTOR LICENSE: 104019206.</t>
  </si>
  <si>
    <t>REPAIR OR IN-KIND REPLACEMENT OF 7 PLUMBING FIXTURES AS DESCRIBED IN PERMIT APPLICATION.  LOCATIONS: 1 RESIDENTIAL UNIT(S), 0 NON-RESIDENTIAL UNIT(S), UNIT 2F.</t>
  </si>
  <si>
    <t>LINE VOLTAGE ELECTRICAL WORK. INSTALL SYSTEM III EMERGENCY LIGHTING.  RECEPTACLE OUTLETS: 0 . LIGHTING OUTLETS: 0. SPECIFIC LOCATION: INTERIOR STAIR WAY AREAS, REAR EXTERIOR AREAS.</t>
  </si>
  <si>
    <t>SCOPE: ROOF REPLACEMENT. AREA: 1500 SQ. FT. ROOF COVERING: ASPHALT SHINGLES. LOCATION: ROOF AND GUTTER. IL ROOFING CONTRACTOR LICENSE: 104019206.</t>
  </si>
  <si>
    <t>TUCKPOINTING AND UNIT MASONRY REPAIR / REPLACEMENT: 3200 SQ. FT., LINTEL QTY. 0, MAX. LENGTH 0. LOCATION: TUCKPOINTING ENTIRE BUILDING.</t>
  </si>
  <si>
    <t>SCOPE: ROOF REPLACEMENT. AREA: 1800 SQ. FT. ROOF COVERING: ASPHALT SHINGLES. LOCATION: ROOFING. IL ROOFING CONTRACTOR LICENSE: 104012900.</t>
  </si>
  <si>
    <t>SCOPE: ROOF REPLACEMENT. AREA: 2107 SQ. FT. ROOF COVERING: ASPHALT SHINGLES. LOCATION: ON TOP OF THE ROOF. IL ROOFING CONTRACTOR LICENSE: 104.02017.</t>
  </si>
  <si>
    <t>LINE VOLTAGE ELECTRICAL WORK. NEW PERMANENT 100 AMP SERVICE DISCONNECTING MEANS WITH 1 CIRCUITS. RECEPTACLE OUTLETS: 1 . LIGHTING OUTLETS: 0. 13.5 KWH LITHIUM ION ENERGY STORAGE SYSTEM. SPECIFIC LOCATION: EXTERIOR, MAIN PANEL, METER.</t>
  </si>
  <si>
    <t>LINE VOLTAGE ELECTRICAL WORK. NEW PERMANENT 200 AMP SERVICE DISCONNECTING MEANS WITH 1 CIRCUITS. RECEPTACLE OUTLETS: 1 . LIGHTING OUTLETS: 0. 13.5 KWH LITHIUM ION ENERGY STORAGE SYSTEM. SPECIFIC LOCATION: EXTERIOR WALL, GROUNDING &amp; BONDING.</t>
  </si>
  <si>
    <t>LINE VOLTAGE ELECTRICAL WORK. NEW PERMANENT 100 AMP SERVICE DISCONNECTING MEANS WITH 1 CIRCUITS. RECEPTACLE OUTLETS: 1 . LIGHTING OUTLETS: 0. 13.5 KWH LITHIUM ION ENERGY STORAGE SYSTEM. SPECIFIC LOCATION: EXTERIOR, METER, SERVICE CONDUCTOR.</t>
  </si>
  <si>
    <t>LOW VOLTAGE/COMMUNICATION ELECTRICAL WORK. INSTALL DATA/VIDEO. SPECIFIC LOCATION: SUITE 1180.</t>
  </si>
  <si>
    <t>LOW VOLTAGE/COMMUNICATION ELECTRICAL WORK. INSTALL OTHER. SPECIFIC LOCATION: INSIDE TEMP TENT LOCATED IN PARKING LOT.</t>
  </si>
  <si>
    <t>SCOPE: ROOF REPAIR. AREA: 1200 SQ. FT. ROOF COVERING: METAL PANELS. LOCATION: TOP ROOF. IL ROOFING CONTRACTOR LICENSE: 104018259.</t>
  </si>
  <si>
    <t>INSTALL SOLAR PANELS ON ROOF OF PRINCIPAL BUILDING. ROOF TYPE: SLOPED (2:12 TO 5:12). INVERTER OUTPUT: 10 KW. ARRAY OUTPUT: 7.79 KW.   INCLUDES 13.5 KWH ENERGY STORAGE SYSTEM.  LOCATION: ROOF PLANES OF HOME. ICC DISTRIBUTED GENERATION INSTALLER CERT. #18-0817. | SPECIAL CONDITION: * NEC REFERENCES TO BE OMITTED FROM DRAWINGS, ALL GENERAL ELECTRICAL NOTES SHALL REFERENCE CEC 2018. * REFER TO ELECTRICAL PERMIT B200439738.* ALL EQUIPMENT, CONNECTORS, RACEWAYS, TAPS, MUST BE LISTED AND LABELED FOR USE.</t>
  </si>
  <si>
    <t>NEW DETACHED WOOD FRAME GARAGE. DIMENSIONS AND SETBACKS PER APPLICATION. BUILDING OUTSIDE DIMENSIONS: 20'-0' ' X20'-0' '. HIP ROOF HEIGHT TO PEAK: 12'-0' '.</t>
  </si>
  <si>
    <t>LINE VOLTAGE ELECTRICAL WORK. REPAIR OR ALTER DEVICES ON EXISTING CIRCUITS. RECEPTACLE OUTLETS: 5 . LIGHTING OUTLETS: 0. SPECIFIC LOCATION: TERMINAL #1 @B10.</t>
  </si>
  <si>
    <t>NEW DETACHED WOOD FRAME GARAGE. DIMENSIONS AND SETBACKS PER APPLICATION. BUILDING OUTSIDE DIMENSIONS: 22'-0' ' X24'-0' '. GABLE ROOF HEIGHT TO PEAK: 15'-6' '.</t>
  </si>
  <si>
    <t>INSTALL SOLAR PANELS ON ROOF OF PRINCIPAL BUILDING. ROOF TYPE: STEEP (&gt;5:12). INVERTER OUTPUT: 7.6 KW. ARRAY OUTPUT: 9.9 KW.  LOCATION: ROOFTOP. ICC DISTRIBUTED GENERATION INSTALLER CERT. #19-0250. | SPECIAL CONDITION: * NEC REFERENCES TO BE OMITTED FROM DRAWINGS, ALL GENERAL ELECTRICAL NOTES SHALL REFERENCE CEC 2018. * REFER TO ELECTRICAL PERMIT B200439764.* ALL EQUIPMENT, CONNECTORS, RACEWAYS, TAPS, MUST BE LISTED AND LABELED FOR USE.</t>
  </si>
  <si>
    <t>TUCKPOINTING AND UNIT MASONRY REPAIR / REPLACEMENT: 600 SQ. FT., LINTEL QTY. 43, MAX. LENGTH 6. LOCATION: MASONRY REPAIR WORK.</t>
  </si>
  <si>
    <t>SCOPE: ROOF REPLACEMENT. AREA: 16 SQ. FT. ROOF COVERING: ASPHALT SHINGLES. LOCATION: RE ROOF. IL ROOFING CONTRACTOR LICENSE: 104018619.</t>
  </si>
  <si>
    <t>LINE VOLTAGE ELECTRICAL WORK. REPAIR OR ALTER DEVICES ON EXISTING CIRCUITS. RECEPTACLE OUTLETS: 1 . LIGHTING OUTLETS: 1. SPECIFIC LOCATION: FLOORS 1-3. | SPECIAL CONDITION: NO OTHER WORK.</t>
  </si>
  <si>
    <t>SCOPE: ROOF REPAIR. AREA: 600 SQ. FT. ROOF COVERING: MINERAL - SURFACED ROLL ROOFING. LOCATION: TOP ROOF. IL ROOFING CONTRACTOR LICENSE: 104018259.</t>
  </si>
  <si>
    <t>LOW VOLTAGE/COMMUNICATION ELECTRICAL WORK. INSTALL DATA/VIDEO. SPECIFIC LOCATION: 4TH FLOOR. | SPECIAL CONDITION: NO OTHER WORK.</t>
  </si>
  <si>
    <t>INSTALL SOLAR PANELS ON ROOF OF PRINCIPAL BUILDING. ROOF TYPE: STEEP (&gt;5:12). INVERTER OUTPUT: 11.5 KW. ARRAY OUTPUT: 0.01376 KW.   INCLUDES 11.5 KWH ENERGY STORAGE SYSTEM.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</si>
  <si>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INSTALL PERMANENT-NOT REQUIRED BY CODE 48 KW FUEL GAS GENERATOR. RECEPTACLE OUTLETS: 0 . LIGHTING OUTLETS: 0. SPECIFIC LOCATION: CELL SITE IN THE REAR OF THE PROPERTY..</t>
  </si>
  <si>
    <t>LINE VOLTAGE ELECTRICAL WORK. NEW PERMANENT 400 AMP SERVICE DISCONNECTING MEANS WITH 48 CIRCUITS. RECEPTACLE OUTLETS: 54 . LIGHTING OUTLETS: 31. SPECIFIC LOCATION: GROUND LEVEL AND 2ND FLOOR.</t>
  </si>
  <si>
    <t>TUCKPOINTING AND UNIT MASONRY REPAIR / REPLACEMENT: 700 SQ. FT., LINTEL QTY. 0, MAX. LENGTH 0. LOCATION: FRONT AND BACK FACADE.</t>
  </si>
  <si>
    <t>LINE VOLTAGE ELECTRICAL WORK. NEW PERMANENT 200 AMP SERVICE DISCONNECTING MEANS WITH 28 CIRCUITS. RECEPTACLE OUTLETS: 1 . LIGHTING OUTLETS: 1. SPECIFIC LOCATION: ELECTRICAL.</t>
  </si>
  <si>
    <t>TUCKPOINTING AND UNIT MASONRY REPAIR / REPLACEMENT: 100 SQ. FT., LINTEL QTY. 0, MAX. LENGTH 0. LOCATION: FIRST FLOOR FRONT FACADE.</t>
  </si>
  <si>
    <t>SCOPE: ROOF REPLACEMENT. AREA: 11300 SQ. FT. ROOF COVERING: OTHER. LOCATION: ROOFTOP. IL ROOFING CONTRACTOR LICENSE: 104000224.</t>
  </si>
  <si>
    <t>TUCKPOINTING AND UNIT MASONRY REPAIR / REPLACEMENT: 20 SQ. FT., LINTEL QTY. 0, MAX. LENGTH 0. LOCATION: GARAGE ENTRANCE.</t>
  </si>
  <si>
    <t>SCOPE: ROOF REPLACEMENT. AREA: 3000 SQ. FT. ROOF COVERING: MINERAL - SURFACED ROLL ROOFING. LOCATION: ROOFING. IL ROOFING CONTRACTOR LICENSE: 104019437.</t>
  </si>
  <si>
    <t>LOW VOLTAGE/COMMUNICATION ELECTRICAL WORK. INSTALL DATA/VIDEO. SPECIFIC LOCATION: SUITE 400 CONFERENCE ROOMS. | SPECIAL CONDITION: NO OTHER WORK.</t>
  </si>
  <si>
    <t>TUCKPOINTING AND UNIT MASONRY REPAIR / REPLACEMENT: 250 SQ. FT., LINTEL QTY. 0, MAX. LENGTH 0. LOCATION: ALLEYWAY, PASSAGE BETWEEN TWO BUILDINGS.</t>
  </si>
  <si>
    <t>TUCKPOINTING AND UNIT MASONRY REPAIR / REPLACEMENT: 200 SQ. FT., LINTEL QTY. 0, MAX. LENGTH 0.  LOCATION: ROOF CHIMNEY.</t>
  </si>
  <si>
    <t>TUCKPOINTING AND UNIT MASONRY REPAIR / REPLACEMENT: 2432 SQ. FT., LINTEL QTY. 0, MAX. LENGTH 0. PARAPET REBUILDING: 168 SQ. FT. LOCATION: FRONT,SIDE,FRONT PILLAR.</t>
  </si>
  <si>
    <t>LOW VOLTAGE/COMMUNICATION ELECTRICAL WORK. INSTALL SECURITY. SPECIFIC LOCATION: 46TH FLOOR.</t>
  </si>
  <si>
    <t>INSTALL SOLAR PANELS ON ROOF OF PRINCIPAL BUILDING. ROOF TYPE: STEEP (&gt;5:12). INVERTER OUTPUT: 11.4 KW. ARRAY OUTPUT: 0.01056 KW.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</si>
  <si>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 CIRCUITS. RECEPTACLE OUTLETS: 1 . LIGHTING OUTLETS: 1. SPECIFIC LOCATION: REAR OF THE PROPERTY..</t>
  </si>
  <si>
    <t>SCOPE: ROOF RECOVER. AREA: 2800 SQ. FT. ROOF COVERING: MINERAL - SURFACED ROLL ROOFING. LOCATION: FLAT ROOF. IL ROOFING CONTRACTOR LICENSE: 104003460.</t>
  </si>
  <si>
    <t>LINE VOLTAGE ELECTRICAL WORK. REPAIR OR ALTER DEVICES ON EXISTING CIRCUITS. RECEPTACLE OUTLETS: 1 . LIGHTING OUTLETS: 0. SPECIFIC LOCATION: MIDDLE WEST ELECTRICAL ROOM.</t>
  </si>
  <si>
    <t>INSTALL SOLAR PANELS ON ROOF OF PRINCIPAL BUILDING. ROOF TYPE: SLOPED (2:12 TO 5:12). INVERTER OUTPUT: 0.29 KW. ARRAY OUTPUT: 0.12325 KW.  LOCATION: ROOF OF MAIN HOUSE. ICC DISTRIBUTED GENERATION INSTALLER CERT. #24-0120. | SPECIAL CONDITION: * NEC REFERENCES TO BE OMITTED FROM DRAWINGS, ALL GENERAL ELECTRICAL NOTES SHALL REFERENCE CEC 2018. * REFER TO ELECTRICAL PERMIT B200439860.* ALL EQUIPMENT, CONNECTORS, RACEWAYS, TAPS, MUST BE LISTED AND LABELED FOR USE.</t>
  </si>
  <si>
    <t>LINE VOLTAGE ELECTRICAL WORK. NEW PERMANENT 200 AMP SERVICE DISCONNECTING MEANS WITH 4 CIRCUITS. RECEPTACLE OUTLETS: 1 . LIGHTING OUTLETS: 0. SPECIFIC LOCATION: UPGRADE METER TO 100A AND RISER TO 200A SERVICE.</t>
  </si>
  <si>
    <t>LINE VOLTAGE ELECTRICAL WORK. ADD 2 CIRCUITS TO EXISTING 100 AMP SERVICE DISCONNECTING MEANS. RECEPTACLE OUTLETS: 1 . LIGHTING OUTLETS: 0. SPECIFIC LOCATION: OUTSIDE CONDENSER AREAR.</t>
  </si>
  <si>
    <t>LINE VOLTAGE ELECTRICAL WORK. NEW PERMANENT 60 AMP SERVICE DISCONNECTING MEANS WITH 12 CIRCUITS. RECEPTACLE OUTLETS: 8 . LIGHTING OUTLETS: 6. SPECIFIC LOCATION: KITCHEN FOR UNIT 606.</t>
  </si>
  <si>
    <t>TUCKPOINTING AND UNIT MASONRY REPAIR / REPLACEMENT: 30 SQ. FT., LINTEL QTY. 0, MAX. LENGTH 0. PARAPET REBUILDING: 30 SQ. FT. LOCATION: FRONT FACADE.</t>
  </si>
  <si>
    <t>NEW DETACHED WOOD FRAME GARAGE. DIMENSIONS AND SETBACKS PER APPLICATION. BUILDING OUTSIDE DIMENSIONS: 22'-0' ' X20'-0' '. GABLE ROOF HEIGHT TO PEAK: 15'-0' '.</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</si>
  <si>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B200439676.* ALL EQUIPMENT, CONNECTORS, RACEWAYS, TAPS, ETC... MUST BE LISTED AND LABELED FOR USE.</t>
  </si>
  <si>
    <t>SCOPE: ROOF REPLACEMENT. AREA: 15 SQ. FT. ROOF COVERING: ASPHALT SHINGLES. LOCATION: HOUSE ROOF. IL ROOFING CONTRACTOR LICENSE: 104015142.</t>
  </si>
  <si>
    <t>REPAIR OR IN-KIND REPLACEMENT OF 1 PLUMBING FIXTURES AS DESCRIBED IN PERMIT APPLICATION.  INCLUDES REPAIR OR REPLACMENT OF PLUMBING PIPING.  LOCATIONS: 1 RESIDENTIAL UNIT(S), 0 NON-RESIDENTIAL UNIT(S), EXISTING BASEMENT AND 2ND FLR.</t>
  </si>
  <si>
    <t>LINE VOLTAGE ELECTRICAL WORK. ADD 8 CIRCUITS TO EXISTING 200 AMP SERVICE DISCONNECTING MEANS. RECEPTACLE OUTLETS: 1 . LIGHTING OUTLETS: 0. SPECIFIC LOCATION: 1ST FLOOR.</t>
  </si>
  <si>
    <t>LINE VOLTAGE ELECTRICAL WORK. NEW TEMPORARY 100 AMP SERVICE DISCONNECTING MEANS WITH 2 CIRCUITS. RECEPTACLE OUTLETS: 1 . LIGHTING OUTLETS: 0. SPECIFIC LOCATION: BACK YARD.</t>
  </si>
  <si>
    <t>IN-KIND REPLACEMENT OF EXTERIOR WINDOWS AND DOORS IN EXISTING OPENINGS. REPLACEMENT WINDOWS: 1; REPLACEMENT SKYLIGHTS: 0; REPLACEMENT DOORS: 2. AFFECTS: 0 RESIDENTIAL UNIT(S), 1 NON-RESIDENTIAL UNIT(S), LOCATION: FRONT DOOR AND WINDOW ARCH IN FRONT AND REAR ENTRY.</t>
  </si>
  <si>
    <t>SCOPE: ROOF REPLACEMENT. AREA: 600 SQ. FT. ROOF COVERING: BUILT-UP ROOF. LOCATION: THE ROOF. IL ROOFING CONTRACTOR LICENSE: 104.01826.</t>
  </si>
  <si>
    <t>NEW DETACHED WOOD FRAME GARAGE. DIMENSIONS AND SETBACKS PER APPLICATION. BUILDING OUTSIDE DIMENSIONS: 20'-0' ' X20'-0' '. GABLE ROOF HEIGHT TO PEAK: 13'-0' '.</t>
  </si>
  <si>
    <t>LINE VOLTAGE ELECTRICAL WORK. NEW PERMANENT 200 AMP SERVICE DISCONNECTING MEANS WITH 1 CIRCUITS. RECEPTACLE OUTLETS: 1 . LIGHTING OUTLETS: 0. 13.5 KWH LITHIUM ION ENERGY STORAGE SYSTEM. SPECIFIC LOCATION: EXTERIOR.</t>
  </si>
  <si>
    <t>LINE VOLTAGE ELECTRICAL WORK. REPAIR OR ALTER DEVICES ON EXISTING CIRCUITS. RECEPTACLE OUTLETS: 0 . LIGHTING OUTLETS: 2. SPECIFIC LOCATION: ELEVATOR MACHINE ROOMS. | SPECIAL CONDITION: NO OTHER WORK.</t>
  </si>
  <si>
    <t>TUCKPOINTING AND UNIT MASONRY REPAIR / REPLACEMENT: 300 SQ. FT., LINTEL QTY. 0, MAX. LENGTH 0. PARAPET REBUILDING: 110 SQ. FT. LOCATION: EAST, WEST, AND SOUTH.</t>
  </si>
  <si>
    <t>TUCKPOINTING AND UNIT MASONRY REPAIR / REPLACEMENT: 2600 SQ. FT., LINTEL QTY. 0, MAX. LENGTH 0. LOCATION: ALL ELEVATIONS.</t>
  </si>
  <si>
    <t>LOW VOLTAGE/COMMUNICATION ELECTRICAL WORK. ALTER EXISTING LIGHTING. SPECIFIC LOCATION: FIRST FLOOR.</t>
  </si>
  <si>
    <t>INSTALL SOLAR PANELS ON ROOF OF PRINCIPAL BUILDING. ROOF TYPE: SLOPED (2:12 TO 5:12). INVERTER OUTPUT: 10 KW. ARRAY OUTPUT: 4.92 KW.   INCLUDES 13.5 KWH ENERGY STORAGE SYSTEM.  LOCATION: ROOF PLANES OF MAIN HOUSE. ICC DISTRIBUTED GENERATION INSTALLER CERT. #18-0817. | SPECIAL CONDITION: * NEC REFERENCES TO BE OMITTED FROM DRAWINGS, ALL GENERAL ELECTRICAL NOTES SHALL REFERENCE CEC 2018. * REFER TO SOLAR (ACCESSORY) PERMIT B200439939 AND ELECTRICAL PERMIT B200439943.* UNDERGROUND RACEWAY TO BE INSPECTED BY AHJ PRIOR TO COVERING. * ALL EQUIPMENT, CONNECTORS, RACEWAYS, TAPS, ETC... MUST BE LISTED AND LABELED FOR USE.</t>
  </si>
  <si>
    <t>INSTALL SOLAR PANELS ON ROOF OF ACCESSORY BUILDING. ROOF TYPE: SLOPED (2:12 TO 5:12). INVERTER OUTPUT: 10 KW. ARRAY OUTPUT: 6.15 KW.   INCLUDES 13.5 KWH ENERGY STORAGE SYSTEM.  LOCATION: ROOF PLANES OF DETACHED GARAGE. ICC DISTRIBUTED GENERATION INSTALLER CERT. #18-0817. | SPECIAL CONDITION: * NEC REFERENCES TO BE OMITTED FROM DRAWINGS, ALL GENERAL ELECTRICAL NOTES SHALL REFERENCE CEC 2018. * REFER TO SOLAR (PRINCIPAL) PERMIT B200439936 AND ELECTRICAL PERMIT B200439943.* UNDERGROUND RACEWAY TO BE INSPECTED BY AHJ PRIOR TO COVERING. * ALL EQUIPMENT, CONNECTORS, RACEWAYS, TAPS, ETC... MUST BE LISTED AND LABELED FOR USE.</t>
  </si>
  <si>
    <t>LINE VOLTAGE ELECTRICAL WORK. NEW PERMANENT 225 AMP SERVICE DISCONNECTING MEANS WITH 1 CIRCUITS. RECEPTACLE OUTLETS: 1 . LIGHTING OUTLETS: 0. 13.5 KWH LITHIUM ION ENERGY STORAGE SYSTEM. SPECIFIC LOCATION: EXTERIOR.</t>
  </si>
  <si>
    <t>PURPOSE: NEW/REPLACEMENT INSTALLATION. WOOD FENCE - 6'-0' ' (HEIGHT) X 175'-0' ' (LENGTH). LOCATION: REPLACE EXISTING FENCE AROUND PERIMETER.</t>
  </si>
  <si>
    <t>NEW DETACHED WOOD FRAME GARAGE. DIMENSIONS AND SETBACKS PER APPLICATION. BUILDING OUTSIDE DIMENSIONS: 22'-0' ' X20'-0' '. HIP ROOF HEIGHT TO PEAK: 12'-0' '.</t>
  </si>
  <si>
    <t>LIMITED REPAIR (25% OR LESS) FOR WOOD PORCH (OPEN) (QUANTITY: 1, LOCATION: EAST SIDE OF BUILDING).</t>
  </si>
  <si>
    <t>TUCKPOINTING AND UNIT MASONRY REPAIR / REPLACEMENT: 750 SQ. FT., LINTEL QTY. 0, MAX. LENGTH 0. LOCATION: ALL EXTERIOR FACADE ELEVATIONS.</t>
  </si>
  <si>
    <t>TUCKPOINTING AND UNIT MASONRY REPAIR / REPLACEMENT: 1000 SQ. FT., LINTEL QTY. 0, MAX. LENGTH 0. LOCATION: CHIMNEY, WINGWALL.</t>
  </si>
  <si>
    <t>INSTALL SOLAR PANELS ON ROOF OF PRINCIPAL BUILDING. ROOF TYPE: LOW-SLOPED (&lt;2:12). INVERTER OUTPUT: 9.5 KW. ARRAY OUTPUT: 11.25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</si>
  <si>
    <t>SCOPE: ROOF REPLACEMENT. AREA: 1800 SQ. FT. ROOF COVERING: ASPHALT SHINGLES. LOCATION: EXTERIOR ROOF. IL ROOFING CONTRACTOR LICENSE: 104.01959.</t>
  </si>
  <si>
    <t>LINE VOLTAGE ELECTRICAL WORK. NEW PERMANENT 225 AMP SERVICE DISCONNECTING MEANS WITH 1 CIRCUITS. RECEPTACLE OUTLETS: 1 . LIGHTING OUTLETS: 0. 13.5 KWH LITHIUM ION ENERGY STORAGE SYSTEM. SPECIFIC LOCATION: EXTERIOR WALL, SPAN MAIN PANEL.</t>
  </si>
  <si>
    <t>LINE VOLTAGE ELECTRICAL WORK. NEW PERMANENT 100 AMP SERVICE DISCONNECTING MEANS WITH 1 CIRCUITS. RECEPTACLE OUTLETS: 2 . LIGHTING OUTLETS: 0. SPECIFIC LOCATION: BASEMENT.</t>
  </si>
  <si>
    <t>WRECK AND REMOVE DETACHED GARAGE/CARPORT FROM REAR OF VACANT LOT. LOCATIONS: 1 RESIDENTIAL UNIT(S), 0 NON-RESIDENTIAL UNIT(S), REAR OF LOT.</t>
  </si>
  <si>
    <t>INSTALL SOLAR PANELS ON ROOF OF PRINCIPAL BUILDING. ROOF TYPE: STEEP (&gt;5:12). INVERTER OUTPUT: 6 KW. ARRAY OUTPUT: 6.8 KW.  LOCATION: ROOFTOP. ICC DISTRIBUTED GENERATION INSTALLER CERT. #13-0674. | SPECIAL CONDITION: * NEC REFERENCES TO BE OMITTED FROM DRAWINGS, ALL GENERAL ELECTRICAL NOTES SHALL REFERENCE CEC 2018. * REFER TO ELECTRICAL PERMIT B200437498.* ALL EQUIPMENT, CONNECTORS, RACEWAYS, TAPS, MUST BE LISTED AND LABELED FOR USE. *</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</si>
  <si>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B200440097.* ALL EQUIPMENT, CONNECTORS, RACEWAYS, TAPS, MUST BE LISTED AND LABELED FOR USE.</t>
  </si>
  <si>
    <t>SCOPE: ROOF REPLACEMENT. AREA: 1276 SQ. FT. ROOF COVERING: ASPHALT SHINGLES. LOCATION: RE ROOFING. IL ROOFING CONTRACTOR LICENSE: 104018619.</t>
  </si>
  <si>
    <t>LINE VOLTAGE ELECTRICAL WORK. ADD 1 CIRCUITS TO EXISTING 200 AMP SERVICE DISCONNECTING MEANS. RECEPTACLE OUTLETS: 1 . LIGHTING OUTLETS: 1. SPECIFIC LOCATION: FURNISH AND INSTALL NEW 1-1/4 RISER DAMAGED.</t>
  </si>
  <si>
    <t>LINE VOLTAGE ELECTRICAL WORK. NEW PERMANENT 200 AMP SERVICE DISCONNECTING MEANS WITH 1 CIRCUITS. RECEPTACLE OUTLETS: 1 . LIGHTING OUTLETS: 1. SPECIFIC LOCATION: BASEMENT EXTERIOR REAR YEAR.</t>
  </si>
  <si>
    <t>INSTALL SOLAR PANELS ON ROOF OF PRINCIPAL BUILDING. ROOF TYPE: SLOPED (2:12 TO 5:12). INVERTER OUTPUT: 10 KW. ARRAY OUTPUT: 6.15 KW.   INCLUDES 13.5 KWH ENERGY STORAGE SYSTEM.  LOCATION: ROOF PLANES OF HOME. ICC DISTRIBUTED GENERATION INSTALLER CERT. #18-0817. | SPECIAL CONDITION: * NEC REFERENCES TO BE OMITTED FROM DRAWINGS, ALL GENERAL ELECTRICAL NOTES SHALL REFERENCE CEC 2018. * REFER TO ELECTRICAL PERMIT B200440107.* ALL EQUIPMENT, CONNECTORS, RACEWAYS, TAPS, MUST BE LISTED AND LABELED FOR USE.</t>
  </si>
  <si>
    <t>SCOPE: ROOF REPLACEMENT. AREA: 1800 SQ. FT. ROOF COVERING: MINERAL - SURFACED ROLL ROOFING. LOCATION: ROOFING. IL ROOFING CONTRACTOR LICENSE: 104.02031.</t>
  </si>
  <si>
    <t>LINE VOLTAGE ELECTRICAL WORK. NEW PERMANENT 200 AMP SERVICE DISCONNECTING MEANS WITH 40 CIRCUITS. RECEPTACLE OUTLETS: 1 . LIGHTING OUTLETS: 0. SPECIFIC LOCATION: EXTERIOR ELECTRIC METER AND INTERIOR PANEL.</t>
  </si>
  <si>
    <t>TUCKPOINTING AND UNIT MASONRY REPAIR / REPLACEMENT: 2000 SQ. FT., LINTEL QTY. 0, MAX. LENGTH 0. LOCATION: EXTERIOR GRINDING.</t>
  </si>
  <si>
    <t>NO PIN FOUND</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</si>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</sst>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201</v>
      </c>
      <c r="D2" t="s">
        <v>400</v>
      </c>
      <c r="I2">
        <v>3135</v>
      </c>
      <c r="K2" t="s">
        <v>409</v>
      </c>
      <c r="L2">
        <f>HYPERLINK("https://maps.cookcountyil.gov/cookviewer/?search=4015 N HARDING AVE", "4015 N HARDING AVE")</f>
        <v>0</v>
      </c>
      <c r="N2" t="s">
        <v>586</v>
      </c>
      <c r="P2" t="s">
        <v>587</v>
      </c>
      <c r="Q2" t="s">
        <v>762</v>
      </c>
      <c r="U2">
        <f>HYPERLINK("https://www.cookcountyassessoril.gov/pin/13143270310000", "13-14-327-031-0000")</f>
        <v>0</v>
      </c>
      <c r="V2" t="s">
        <v>944</v>
      </c>
    </row>
    <row r="3" spans="1:23">
      <c r="A3">
        <v>2</v>
      </c>
      <c r="B3" t="s">
        <v>24</v>
      </c>
      <c r="C3" t="s">
        <v>202</v>
      </c>
      <c r="D3" t="s">
        <v>401</v>
      </c>
      <c r="I3">
        <v>3144</v>
      </c>
      <c r="K3" t="s">
        <v>410</v>
      </c>
      <c r="L3">
        <f>HYPERLINK("https://maps.cookcountyil.gov/cookviewer/?search=869 W BLACKHAWK ST", "869 W BLACKHAWK ST")</f>
        <v>0</v>
      </c>
      <c r="N3" t="s">
        <v>586</v>
      </c>
      <c r="P3" t="s">
        <v>588</v>
      </c>
      <c r="Q3" t="s">
        <v>763</v>
      </c>
      <c r="U3" t="s">
        <v>943</v>
      </c>
      <c r="V3" t="s">
        <v>944</v>
      </c>
    </row>
    <row r="4" spans="1:23">
      <c r="A4">
        <v>3</v>
      </c>
      <c r="B4" t="s">
        <v>25</v>
      </c>
      <c r="C4" t="s">
        <v>203</v>
      </c>
      <c r="D4" t="s">
        <v>402</v>
      </c>
      <c r="I4">
        <v>13569</v>
      </c>
      <c r="K4" t="s">
        <v>411</v>
      </c>
      <c r="L4">
        <f>HYPERLINK("https://maps.cookcountyil.gov/cookviewer/?search=1655 E 84TH PL", "1655 E 84TH PL")</f>
        <v>0</v>
      </c>
      <c r="N4" t="s">
        <v>586</v>
      </c>
      <c r="P4" t="s">
        <v>589</v>
      </c>
      <c r="Q4" t="s">
        <v>764</v>
      </c>
      <c r="U4">
        <f>HYPERLINK("https://www.cookcountyassessoril.gov/pin/20363100240000", "20-36-310-024-0000")</f>
        <v>0</v>
      </c>
      <c r="V4" t="s">
        <v>945</v>
      </c>
    </row>
    <row r="5" spans="1:23">
      <c r="A5">
        <v>4</v>
      </c>
      <c r="B5" t="s">
        <v>26</v>
      </c>
      <c r="C5" t="s">
        <v>204</v>
      </c>
      <c r="D5" t="s">
        <v>400</v>
      </c>
      <c r="I5">
        <v>48000</v>
      </c>
      <c r="K5" t="s">
        <v>412</v>
      </c>
      <c r="L5">
        <f>HYPERLINK("https://maps.cookcountyil.gov/cookviewer/?search=3424 N RACINE AVE", "3424 N RACINE AVE")</f>
        <v>0</v>
      </c>
      <c r="N5" t="s">
        <v>586</v>
      </c>
      <c r="P5" t="s">
        <v>590</v>
      </c>
      <c r="Q5" t="s">
        <v>765</v>
      </c>
      <c r="U5" t="s">
        <v>943</v>
      </c>
      <c r="V5" t="s">
        <v>945</v>
      </c>
    </row>
    <row r="6" spans="1:23">
      <c r="A6">
        <v>5</v>
      </c>
      <c r="B6" t="s">
        <v>27</v>
      </c>
      <c r="C6" t="s">
        <v>205</v>
      </c>
      <c r="D6" t="s">
        <v>400</v>
      </c>
      <c r="I6">
        <v>1000</v>
      </c>
      <c r="K6" t="s">
        <v>413</v>
      </c>
      <c r="L6">
        <f>HYPERLINK("https://maps.cookcountyil.gov/cookviewer/?search=2223 W 23RD PL", "2223 W 23RD PL")</f>
        <v>0</v>
      </c>
      <c r="N6" t="s">
        <v>586</v>
      </c>
      <c r="P6" t="s">
        <v>591</v>
      </c>
      <c r="Q6" t="s">
        <v>766</v>
      </c>
      <c r="U6">
        <f>HYPERLINK("https://www.cookcountyassessoril.gov/pin/17301130150000", "17-30-113-015-0000")</f>
        <v>0</v>
      </c>
      <c r="V6" t="s">
        <v>944</v>
      </c>
    </row>
    <row r="7" spans="1:23">
      <c r="A7">
        <v>6</v>
      </c>
      <c r="B7" t="s">
        <v>28</v>
      </c>
      <c r="C7" t="s">
        <v>206</v>
      </c>
      <c r="D7" t="s">
        <v>403</v>
      </c>
      <c r="I7">
        <v>17917</v>
      </c>
      <c r="K7" t="s">
        <v>414</v>
      </c>
      <c r="L7">
        <f>HYPERLINK("https://maps.cookcountyil.gov/cookviewer/?search=9634 S GENOA AVE", "9634 S GENOA AVE")</f>
        <v>0</v>
      </c>
      <c r="N7" t="s">
        <v>586</v>
      </c>
      <c r="P7" t="s">
        <v>592</v>
      </c>
      <c r="Q7" t="s">
        <v>767</v>
      </c>
      <c r="U7">
        <f>HYPERLINK("https://www.cookcountyassessoril.gov/pin/25082090150000", "25-08-209-015-0000")</f>
        <v>0</v>
      </c>
      <c r="V7" t="s">
        <v>945</v>
      </c>
    </row>
    <row r="8" spans="1:23">
      <c r="A8">
        <v>7</v>
      </c>
      <c r="B8" t="s">
        <v>29</v>
      </c>
      <c r="C8" t="s">
        <v>207</v>
      </c>
      <c r="D8" t="s">
        <v>404</v>
      </c>
      <c r="I8">
        <v>5000</v>
      </c>
      <c r="K8" t="s">
        <v>415</v>
      </c>
      <c r="L8">
        <f>HYPERLINK("https://maps.cookcountyil.gov/cookviewer/?search=3601 W 56TH PL", "3601 W 56TH PL")</f>
        <v>0</v>
      </c>
      <c r="N8" t="s">
        <v>586</v>
      </c>
      <c r="P8" t="s">
        <v>593</v>
      </c>
      <c r="Q8" t="s">
        <v>768</v>
      </c>
      <c r="U8" t="s">
        <v>943</v>
      </c>
      <c r="V8" t="s">
        <v>944</v>
      </c>
    </row>
    <row r="9" spans="1:23">
      <c r="A9">
        <v>8</v>
      </c>
      <c r="B9" t="s">
        <v>30</v>
      </c>
      <c r="C9" t="s">
        <v>208</v>
      </c>
      <c r="D9" t="s">
        <v>402</v>
      </c>
      <c r="I9">
        <v>3320</v>
      </c>
      <c r="K9" t="s">
        <v>416</v>
      </c>
      <c r="L9">
        <f>HYPERLINK("https://maps.cookcountyil.gov/cookviewer/?search=2453 E 74TH PL", "2453 E 74TH PL")</f>
        <v>0</v>
      </c>
      <c r="N9" t="s">
        <v>586</v>
      </c>
      <c r="P9" t="s">
        <v>594</v>
      </c>
      <c r="Q9" t="s">
        <v>769</v>
      </c>
      <c r="U9">
        <f>HYPERLINK("https://www.cookcountyassessoril.gov/pin/21301170040000", "21-30-117-004-0000")</f>
        <v>0</v>
      </c>
      <c r="V9" t="s">
        <v>944</v>
      </c>
    </row>
    <row r="10" spans="1:23">
      <c r="A10">
        <v>9</v>
      </c>
      <c r="B10" t="s">
        <v>31</v>
      </c>
      <c r="C10" t="s">
        <v>209</v>
      </c>
      <c r="D10" t="s">
        <v>402</v>
      </c>
      <c r="I10">
        <v>1500</v>
      </c>
      <c r="K10" t="s">
        <v>417</v>
      </c>
      <c r="L10">
        <f>HYPERLINK("https://maps.cookcountyil.gov/cookviewer/?search=10008 S WALLACE ST", "10008 S WALLACE ST")</f>
        <v>0</v>
      </c>
      <c r="N10" t="s">
        <v>586</v>
      </c>
      <c r="P10" t="s">
        <v>595</v>
      </c>
      <c r="Q10" t="s">
        <v>770</v>
      </c>
      <c r="U10">
        <f>HYPERLINK("https://www.cookcountyassessoril.gov/pin/25093110180000", "25-09-311-018-0000")</f>
        <v>0</v>
      </c>
      <c r="V10" t="s">
        <v>944</v>
      </c>
    </row>
    <row r="11" spans="1:23">
      <c r="A11">
        <v>10</v>
      </c>
      <c r="B11" t="s">
        <v>32</v>
      </c>
      <c r="C11" t="s">
        <v>210</v>
      </c>
      <c r="D11" t="s">
        <v>403</v>
      </c>
      <c r="I11">
        <v>17464</v>
      </c>
      <c r="K11" t="s">
        <v>418</v>
      </c>
      <c r="L11">
        <f>HYPERLINK("https://maps.cookcountyil.gov/cookviewer/?search=2761 W SEIPP ST", "2761 W SEIPP ST")</f>
        <v>0</v>
      </c>
      <c r="N11" t="s">
        <v>586</v>
      </c>
      <c r="P11" t="s">
        <v>596</v>
      </c>
      <c r="Q11" t="s">
        <v>771</v>
      </c>
      <c r="U11">
        <f>HYPERLINK("https://www.cookcountyassessoril.gov/pin/19364150010000", "19-36-415-001-0000")</f>
        <v>0</v>
      </c>
      <c r="V11" t="s">
        <v>945</v>
      </c>
    </row>
    <row r="12" spans="1:23">
      <c r="A12">
        <v>11</v>
      </c>
      <c r="B12" t="s">
        <v>33</v>
      </c>
      <c r="C12" t="s">
        <v>211</v>
      </c>
      <c r="D12" t="s">
        <v>403</v>
      </c>
      <c r="I12">
        <v>38044</v>
      </c>
      <c r="K12" t="s">
        <v>419</v>
      </c>
      <c r="L12">
        <f>HYPERLINK("https://maps.cookcountyil.gov/cookviewer/?search=10504 S THROOP ST", "10504 S THROOP ST")</f>
        <v>0</v>
      </c>
      <c r="N12" t="s">
        <v>586</v>
      </c>
      <c r="P12" t="s">
        <v>597</v>
      </c>
      <c r="Q12" t="s">
        <v>772</v>
      </c>
      <c r="U12" t="s">
        <v>943</v>
      </c>
      <c r="V12" t="s">
        <v>945</v>
      </c>
    </row>
    <row r="13" spans="1:23">
      <c r="A13">
        <v>12</v>
      </c>
      <c r="B13" t="s">
        <v>33</v>
      </c>
      <c r="C13" t="s">
        <v>212</v>
      </c>
      <c r="D13" t="s">
        <v>403</v>
      </c>
      <c r="I13">
        <v>7011</v>
      </c>
      <c r="K13" t="s">
        <v>419</v>
      </c>
      <c r="L13">
        <f>HYPERLINK("https://maps.cookcountyil.gov/cookviewer/?search=10504 S THROOP ST", "10504 S THROOP ST")</f>
        <v>0</v>
      </c>
      <c r="N13" t="s">
        <v>586</v>
      </c>
      <c r="P13" t="s">
        <v>597</v>
      </c>
      <c r="Q13" t="s">
        <v>773</v>
      </c>
      <c r="U13" t="s">
        <v>943</v>
      </c>
      <c r="V13" t="s">
        <v>945</v>
      </c>
    </row>
    <row r="14" spans="1:23">
      <c r="A14">
        <v>13</v>
      </c>
      <c r="B14" t="s">
        <v>34</v>
      </c>
      <c r="C14" t="s">
        <v>213</v>
      </c>
      <c r="D14" t="s">
        <v>405</v>
      </c>
      <c r="I14">
        <v>12750</v>
      </c>
      <c r="K14" t="s">
        <v>420</v>
      </c>
      <c r="L14">
        <f>HYPERLINK("https://maps.cookcountyil.gov/cookviewer/?search=7233 S OGLESBY AVE", "7233 S OGLESBY AVE")</f>
        <v>0</v>
      </c>
      <c r="N14" t="s">
        <v>586</v>
      </c>
      <c r="P14" t="s">
        <v>598</v>
      </c>
      <c r="Q14" t="s">
        <v>774</v>
      </c>
      <c r="U14">
        <f>HYPERLINK("https://www.cookcountyassessoril.gov/pin/20252130070000", "20-25-213-007-0000")</f>
        <v>0</v>
      </c>
      <c r="V14" t="s">
        <v>945</v>
      </c>
    </row>
    <row r="15" spans="1:23">
      <c r="A15">
        <v>14</v>
      </c>
      <c r="B15" t="s">
        <v>34</v>
      </c>
      <c r="C15" t="s">
        <v>214</v>
      </c>
      <c r="D15" t="s">
        <v>405</v>
      </c>
      <c r="I15">
        <v>16150</v>
      </c>
      <c r="K15" t="s">
        <v>420</v>
      </c>
      <c r="L15">
        <f>HYPERLINK("https://maps.cookcountyil.gov/cookviewer/?search=7233 S OGLESBY AVE", "7233 S OGLESBY AVE")</f>
        <v>0</v>
      </c>
      <c r="N15" t="s">
        <v>586</v>
      </c>
      <c r="P15" t="s">
        <v>598</v>
      </c>
      <c r="Q15" t="s">
        <v>775</v>
      </c>
      <c r="U15">
        <f>HYPERLINK("https://www.cookcountyassessoril.gov/pin/20252130070000", "20-25-213-007-0000")</f>
        <v>0</v>
      </c>
      <c r="V15" t="s">
        <v>945</v>
      </c>
    </row>
    <row r="16" spans="1:23">
      <c r="A16">
        <v>15</v>
      </c>
      <c r="B16" t="s">
        <v>35</v>
      </c>
      <c r="C16" t="s">
        <v>215</v>
      </c>
      <c r="D16" t="s">
        <v>401</v>
      </c>
      <c r="I16">
        <v>15000</v>
      </c>
      <c r="K16" t="s">
        <v>421</v>
      </c>
      <c r="L16">
        <f>HYPERLINK("https://maps.cookcountyil.gov/cookviewer/?search=6000 W GUNNISON ST", "6000 W GUNNISON ST")</f>
        <v>0</v>
      </c>
      <c r="N16" t="s">
        <v>586</v>
      </c>
      <c r="P16" t="s">
        <v>599</v>
      </c>
      <c r="Q16" t="s">
        <v>776</v>
      </c>
      <c r="U16">
        <f>HYPERLINK("https://www.cookcountyassessoril.gov/pin/13083270390000", "13-08-327-039-0000")</f>
        <v>0</v>
      </c>
      <c r="V16" t="s">
        <v>944</v>
      </c>
    </row>
    <row r="17" spans="1:22">
      <c r="A17">
        <v>16</v>
      </c>
      <c r="B17" t="s">
        <v>36</v>
      </c>
      <c r="C17" t="s">
        <v>216</v>
      </c>
      <c r="D17" t="s">
        <v>405</v>
      </c>
      <c r="I17">
        <v>9126</v>
      </c>
      <c r="K17" t="s">
        <v>422</v>
      </c>
      <c r="L17">
        <f>HYPERLINK("https://maps.cookcountyil.gov/cookviewer/?search=2123 W COULTER ST", "2123 W COULTER ST")</f>
        <v>0</v>
      </c>
      <c r="N17" t="s">
        <v>586</v>
      </c>
      <c r="P17" t="s">
        <v>600</v>
      </c>
      <c r="Q17" t="s">
        <v>777</v>
      </c>
      <c r="U17">
        <f>HYPERLINK("https://www.cookcountyassessoril.gov/pin/17301230170000", "17-30-123-017-0000")</f>
        <v>0</v>
      </c>
      <c r="V17" t="s">
        <v>945</v>
      </c>
    </row>
    <row r="18" spans="1:22">
      <c r="A18">
        <v>17</v>
      </c>
      <c r="B18" t="s">
        <v>37</v>
      </c>
      <c r="C18" t="s">
        <v>217</v>
      </c>
      <c r="D18" t="s">
        <v>400</v>
      </c>
      <c r="I18">
        <v>2800</v>
      </c>
      <c r="K18" t="s">
        <v>423</v>
      </c>
      <c r="L18">
        <f>HYPERLINK("https://maps.cookcountyil.gov/cookviewer/?search=333 S DESPLAINES ST", "333 S DESPLAINES ST")</f>
        <v>0</v>
      </c>
      <c r="N18" t="s">
        <v>586</v>
      </c>
      <c r="P18" t="s">
        <v>601</v>
      </c>
      <c r="Q18" t="s">
        <v>778</v>
      </c>
      <c r="U18">
        <f>HYPERLINK("https://www.cookcountyassessoril.gov/pin/17161180250000", "17-16-118-025-0000"), =HYPERLINK("https://www.cookcountyassessoril.gov/pin/17161180260000", "17-16-118-026-0000"), =HYPERLINK("https://www.cookcountyassessoril.gov/pin/17161180240000", "17-16-118-024-0000")</f>
        <v>0</v>
      </c>
      <c r="V18" t="s">
        <v>944</v>
      </c>
    </row>
    <row r="19" spans="1:22">
      <c r="A19">
        <v>18</v>
      </c>
      <c r="B19" t="s">
        <v>38</v>
      </c>
      <c r="C19" t="s">
        <v>218</v>
      </c>
      <c r="D19" t="s">
        <v>400</v>
      </c>
      <c r="I19">
        <v>1500</v>
      </c>
      <c r="K19" t="s">
        <v>424</v>
      </c>
      <c r="L19">
        <f>HYPERLINK("https://maps.cookcountyil.gov/cookviewer/?search=2837 N MILWAUKEE AVE", "2837 N MILWAUKEE AVE")</f>
        <v>0</v>
      </c>
      <c r="N19" t="s">
        <v>586</v>
      </c>
      <c r="P19" t="s">
        <v>602</v>
      </c>
      <c r="Q19" t="s">
        <v>779</v>
      </c>
      <c r="U19">
        <f>HYPERLINK("https://www.cookcountyassessoril.gov/pin/13262180880000", "13-26-218-088-0000")</f>
        <v>0</v>
      </c>
      <c r="V19" t="s">
        <v>944</v>
      </c>
    </row>
    <row r="20" spans="1:22">
      <c r="A20">
        <v>19</v>
      </c>
      <c r="B20" t="s">
        <v>39</v>
      </c>
      <c r="C20" t="s">
        <v>219</v>
      </c>
      <c r="D20" t="s">
        <v>406</v>
      </c>
      <c r="I20">
        <v>6480</v>
      </c>
      <c r="K20" t="s">
        <v>425</v>
      </c>
      <c r="L20">
        <f>HYPERLINK("https://maps.cookcountyil.gov/cookviewer/?search=3225 S GREEN ST", "3225 S GREEN ST")</f>
        <v>0</v>
      </c>
      <c r="N20" t="s">
        <v>586</v>
      </c>
      <c r="P20" t="s">
        <v>603</v>
      </c>
      <c r="Q20" t="s">
        <v>780</v>
      </c>
      <c r="U20">
        <f>HYPERLINK("https://www.cookcountyassessoril.gov/pin/17322150110000", "17-32-215-011-0000")</f>
        <v>0</v>
      </c>
      <c r="V20" t="s">
        <v>944</v>
      </c>
    </row>
    <row r="21" spans="1:22">
      <c r="A21">
        <v>20</v>
      </c>
      <c r="B21" t="s">
        <v>40</v>
      </c>
      <c r="C21" t="s">
        <v>220</v>
      </c>
      <c r="D21" t="s">
        <v>402</v>
      </c>
      <c r="I21">
        <v>8000</v>
      </c>
      <c r="K21" t="s">
        <v>426</v>
      </c>
      <c r="L21">
        <f>HYPERLINK("https://maps.cookcountyil.gov/cookviewer/?search=8323 S ABERDEEN ST", "8323 S ABERDEEN ST")</f>
        <v>0</v>
      </c>
      <c r="N21" t="s">
        <v>586</v>
      </c>
      <c r="P21" t="s">
        <v>604</v>
      </c>
      <c r="Q21" t="s">
        <v>781</v>
      </c>
      <c r="U21">
        <f>HYPERLINK("https://www.cookcountyassessoril.gov/pin/20324020080000", "20-32-402-008-0000")</f>
        <v>0</v>
      </c>
      <c r="V21" t="s">
        <v>944</v>
      </c>
    </row>
    <row r="22" spans="1:22">
      <c r="A22">
        <v>21</v>
      </c>
      <c r="B22" t="s">
        <v>32</v>
      </c>
      <c r="C22" t="s">
        <v>221</v>
      </c>
      <c r="D22" t="s">
        <v>402</v>
      </c>
      <c r="I22">
        <v>5000</v>
      </c>
      <c r="K22" t="s">
        <v>418</v>
      </c>
      <c r="L22">
        <f>HYPERLINK("https://maps.cookcountyil.gov/cookviewer/?search=2761 W SEIPP ST", "2761 W SEIPP ST")</f>
        <v>0</v>
      </c>
      <c r="N22" t="s">
        <v>586</v>
      </c>
      <c r="P22" t="s">
        <v>596</v>
      </c>
      <c r="Q22" t="s">
        <v>782</v>
      </c>
      <c r="U22">
        <f>HYPERLINK("https://www.cookcountyassessoril.gov/pin/19364150010000", "19-36-415-001-0000")</f>
        <v>0</v>
      </c>
      <c r="V22" t="s">
        <v>944</v>
      </c>
    </row>
    <row r="23" spans="1:22">
      <c r="A23">
        <v>22</v>
      </c>
      <c r="B23" t="s">
        <v>28</v>
      </c>
      <c r="C23" t="s">
        <v>222</v>
      </c>
      <c r="D23" t="s">
        <v>403</v>
      </c>
      <c r="I23">
        <v>17917</v>
      </c>
      <c r="K23" t="s">
        <v>414</v>
      </c>
      <c r="L23">
        <f>HYPERLINK("https://maps.cookcountyil.gov/cookviewer/?search=9634 S GENOA AVE", "9634 S GENOA AVE")</f>
        <v>0</v>
      </c>
      <c r="N23" t="s">
        <v>586</v>
      </c>
      <c r="P23" t="s">
        <v>592</v>
      </c>
      <c r="Q23" t="s">
        <v>783</v>
      </c>
      <c r="U23">
        <f>HYPERLINK("https://www.cookcountyassessoril.gov/pin/25082090150000", "25-08-209-015-0000")</f>
        <v>0</v>
      </c>
      <c r="V23" t="s">
        <v>945</v>
      </c>
    </row>
    <row r="24" spans="1:22">
      <c r="A24">
        <v>23</v>
      </c>
      <c r="B24" t="s">
        <v>41</v>
      </c>
      <c r="C24" t="s">
        <v>223</v>
      </c>
      <c r="D24" t="s">
        <v>402</v>
      </c>
      <c r="I24">
        <v>2000</v>
      </c>
      <c r="K24" t="s">
        <v>427</v>
      </c>
      <c r="L24">
        <f>HYPERLINK("https://maps.cookcountyil.gov/cookviewer/?search=6330 N SHERIDAN RD", "6330 N SHERIDAN RD")</f>
        <v>0</v>
      </c>
      <c r="N24" t="s">
        <v>586</v>
      </c>
      <c r="P24" t="s">
        <v>605</v>
      </c>
      <c r="Q24" t="s">
        <v>784</v>
      </c>
      <c r="U24">
        <f>HYPERLINK("https://www.cookcountyassessoril.gov/pin/14052020130000", "14-05-202-013-0000")</f>
        <v>0</v>
      </c>
      <c r="V24" t="s">
        <v>944</v>
      </c>
    </row>
    <row r="25" spans="1:22">
      <c r="A25">
        <v>24</v>
      </c>
      <c r="B25" t="s">
        <v>42</v>
      </c>
      <c r="C25" t="s">
        <v>224</v>
      </c>
      <c r="D25" t="s">
        <v>403</v>
      </c>
      <c r="I25">
        <v>15906</v>
      </c>
      <c r="K25" t="s">
        <v>428</v>
      </c>
      <c r="L25">
        <f>HYPERLINK("https://maps.cookcountyil.gov/cookviewer/?search=9723 S SANGAMON ST", "9723 S SANGAMON ST")</f>
        <v>0</v>
      </c>
      <c r="N25" t="s">
        <v>586</v>
      </c>
      <c r="P25" t="s">
        <v>606</v>
      </c>
      <c r="Q25" t="s">
        <v>785</v>
      </c>
      <c r="U25">
        <f>HYPERLINK("https://www.cookcountyassessoril.gov/pin/25082220080000", "25-08-222-008-0000")</f>
        <v>0</v>
      </c>
      <c r="V25" t="s">
        <v>945</v>
      </c>
    </row>
    <row r="26" spans="1:22">
      <c r="A26">
        <v>25</v>
      </c>
      <c r="B26" t="s">
        <v>42</v>
      </c>
      <c r="C26" t="s">
        <v>225</v>
      </c>
      <c r="D26" t="s">
        <v>402</v>
      </c>
      <c r="I26">
        <v>5000</v>
      </c>
      <c r="K26" t="s">
        <v>428</v>
      </c>
      <c r="L26">
        <f>HYPERLINK("https://maps.cookcountyil.gov/cookviewer/?search=9723 S SANGAMON ST", "9723 S SANGAMON ST")</f>
        <v>0</v>
      </c>
      <c r="N26" t="s">
        <v>586</v>
      </c>
      <c r="P26" t="s">
        <v>606</v>
      </c>
      <c r="Q26" t="s">
        <v>786</v>
      </c>
      <c r="U26">
        <f>HYPERLINK("https://www.cookcountyassessoril.gov/pin/25082220080000", "25-08-222-008-0000")</f>
        <v>0</v>
      </c>
      <c r="V26" t="s">
        <v>944</v>
      </c>
    </row>
    <row r="27" spans="1:22">
      <c r="A27">
        <v>26</v>
      </c>
      <c r="B27" t="s">
        <v>43</v>
      </c>
      <c r="C27" t="s">
        <v>226</v>
      </c>
      <c r="D27" t="s">
        <v>402</v>
      </c>
      <c r="I27">
        <v>2200000</v>
      </c>
      <c r="K27" t="s">
        <v>429</v>
      </c>
      <c r="L27">
        <f>HYPERLINK("https://maps.cookcountyil.gov/cookviewer/?search=77 W WACKER DR", "77 W WACKER DR")</f>
        <v>0</v>
      </c>
      <c r="N27" t="s">
        <v>586</v>
      </c>
      <c r="P27" t="s">
        <v>607</v>
      </c>
      <c r="Q27" t="s">
        <v>787</v>
      </c>
      <c r="U27">
        <f>HYPERLINK("https://www.cookcountyassessoril.gov/pin/17094210120000", "17-09-421-012-0000"), =HYPERLINK("https://www.cookcountyassessoril.gov/pin/17094210180000", "17-09-421-018-0000"), =HYPERLINK("https://www.cookcountyassessoril.gov/pin/17094210130000", "17-09-421-013-0000")</f>
        <v>0</v>
      </c>
      <c r="V27" t="s">
        <v>944</v>
      </c>
    </row>
    <row r="28" spans="1:22">
      <c r="A28">
        <v>27</v>
      </c>
      <c r="B28" t="s">
        <v>44</v>
      </c>
      <c r="C28" t="s">
        <v>227</v>
      </c>
      <c r="D28" t="s">
        <v>403</v>
      </c>
      <c r="I28">
        <v>19022</v>
      </c>
      <c r="K28" t="s">
        <v>430</v>
      </c>
      <c r="L28">
        <f>HYPERLINK("https://maps.cookcountyil.gov/cookviewer/?search=5000 W WINONA ST", "5000 W WINONA ST")</f>
        <v>0</v>
      </c>
      <c r="N28" t="s">
        <v>586</v>
      </c>
      <c r="P28" t="s">
        <v>608</v>
      </c>
      <c r="Q28" t="s">
        <v>788</v>
      </c>
      <c r="U28">
        <f>HYPERLINK("https://www.cookcountyassessoril.gov/pin/13094010330000", "13-09-401-033-0000")</f>
        <v>0</v>
      </c>
      <c r="V28" t="s">
        <v>945</v>
      </c>
    </row>
    <row r="29" spans="1:22">
      <c r="A29">
        <v>28</v>
      </c>
      <c r="B29" t="s">
        <v>45</v>
      </c>
      <c r="C29" t="s">
        <v>228</v>
      </c>
      <c r="D29" t="s">
        <v>402</v>
      </c>
      <c r="I29">
        <v>5000</v>
      </c>
      <c r="K29" t="s">
        <v>431</v>
      </c>
      <c r="L29">
        <f>HYPERLINK("https://maps.cookcountyil.gov/cookviewer/?search=5756 S ROCKWELL ST", "5756 S ROCKWELL ST")</f>
        <v>0</v>
      </c>
      <c r="N29" t="s">
        <v>586</v>
      </c>
      <c r="P29" t="s">
        <v>609</v>
      </c>
      <c r="Q29" t="s">
        <v>789</v>
      </c>
      <c r="U29">
        <f>HYPERLINK("https://www.cookcountyassessoril.gov/pin/19132150340000", "19-13-215-034-0000")</f>
        <v>0</v>
      </c>
      <c r="V29" t="s">
        <v>944</v>
      </c>
    </row>
    <row r="30" spans="1:22">
      <c r="A30">
        <v>29</v>
      </c>
      <c r="B30" t="s">
        <v>46</v>
      </c>
      <c r="C30" t="s">
        <v>229</v>
      </c>
      <c r="D30" t="s">
        <v>404</v>
      </c>
      <c r="I30">
        <v>2000</v>
      </c>
      <c r="K30" t="s">
        <v>432</v>
      </c>
      <c r="L30">
        <f>HYPERLINK("https://maps.cookcountyil.gov/cookviewer/?search=3636 W SHAKESPEARE AVE", "3636 W SHAKESPEARE AVE")</f>
        <v>0</v>
      </c>
      <c r="N30" t="s">
        <v>586</v>
      </c>
      <c r="P30" t="s">
        <v>610</v>
      </c>
      <c r="Q30" t="s">
        <v>790</v>
      </c>
      <c r="U30" t="s">
        <v>943</v>
      </c>
      <c r="V30" t="s">
        <v>944</v>
      </c>
    </row>
    <row r="31" spans="1:22">
      <c r="A31">
        <v>30</v>
      </c>
      <c r="B31" t="s">
        <v>47</v>
      </c>
      <c r="C31" t="s">
        <v>230</v>
      </c>
      <c r="D31" t="s">
        <v>402</v>
      </c>
      <c r="I31">
        <v>9651</v>
      </c>
      <c r="K31" t="s">
        <v>433</v>
      </c>
      <c r="L31">
        <f>HYPERLINK("https://maps.cookcountyil.gov/cookviewer/?search=6163 N LINCOLN AVE", "6163 N LINCOLN AVE")</f>
        <v>0</v>
      </c>
      <c r="N31" t="s">
        <v>586</v>
      </c>
      <c r="P31" t="s">
        <v>611</v>
      </c>
      <c r="Q31" t="s">
        <v>791</v>
      </c>
      <c r="U31">
        <f>HYPERLINK("https://www.cookcountyassessoril.gov/pin/13022200280000", "13-02-220-028-0000")</f>
        <v>0</v>
      </c>
      <c r="V31" t="s">
        <v>944</v>
      </c>
    </row>
    <row r="32" spans="1:22">
      <c r="A32">
        <v>31</v>
      </c>
      <c r="B32" t="s">
        <v>48</v>
      </c>
      <c r="C32" t="s">
        <v>231</v>
      </c>
      <c r="D32" t="s">
        <v>403</v>
      </c>
      <c r="I32">
        <v>33044</v>
      </c>
      <c r="K32" t="s">
        <v>434</v>
      </c>
      <c r="L32">
        <f>HYPERLINK("https://maps.cookcountyil.gov/cookviewer/?search=3501 W 77TH PL", "3501 W 77TH PL")</f>
        <v>0</v>
      </c>
      <c r="N32" t="s">
        <v>586</v>
      </c>
      <c r="P32" t="s">
        <v>612</v>
      </c>
      <c r="Q32" t="s">
        <v>792</v>
      </c>
      <c r="U32">
        <f>HYPERLINK("https://www.cookcountyassessoril.gov/pin/19264070230000", "19-26-407-023-0000")</f>
        <v>0</v>
      </c>
      <c r="V32" t="s">
        <v>945</v>
      </c>
    </row>
    <row r="33" spans="1:22">
      <c r="A33">
        <v>32</v>
      </c>
      <c r="B33" t="s">
        <v>49</v>
      </c>
      <c r="C33" t="s">
        <v>232</v>
      </c>
      <c r="D33" t="s">
        <v>402</v>
      </c>
      <c r="I33">
        <v>6465</v>
      </c>
      <c r="K33" t="s">
        <v>435</v>
      </c>
      <c r="L33">
        <f>HYPERLINK("https://maps.cookcountyil.gov/cookviewer/?search=7524 S MICHIGAN AVE", "7524 S MICHIGAN AVE")</f>
        <v>0</v>
      </c>
      <c r="N33" t="s">
        <v>586</v>
      </c>
      <c r="P33" t="s">
        <v>613</v>
      </c>
      <c r="Q33" t="s">
        <v>793</v>
      </c>
      <c r="U33">
        <f>HYPERLINK("https://www.cookcountyassessoril.gov/pin/20273010250000", "20-27-301-025-0000")</f>
        <v>0</v>
      </c>
      <c r="V33" t="s">
        <v>944</v>
      </c>
    </row>
    <row r="34" spans="1:22">
      <c r="A34">
        <v>33</v>
      </c>
      <c r="B34" t="s">
        <v>48</v>
      </c>
      <c r="C34" t="s">
        <v>233</v>
      </c>
      <c r="D34" t="s">
        <v>403</v>
      </c>
      <c r="I34">
        <v>12464</v>
      </c>
      <c r="K34" t="s">
        <v>434</v>
      </c>
      <c r="L34">
        <f>HYPERLINK("https://maps.cookcountyil.gov/cookviewer/?search=3501 W 77TH PL", "3501 W 77TH PL")</f>
        <v>0</v>
      </c>
      <c r="N34" t="s">
        <v>586</v>
      </c>
      <c r="P34" t="s">
        <v>612</v>
      </c>
      <c r="Q34" t="s">
        <v>794</v>
      </c>
      <c r="U34">
        <f>HYPERLINK("https://www.cookcountyassessoril.gov/pin/19264070230000", "19-26-407-023-0000")</f>
        <v>0</v>
      </c>
      <c r="V34" t="s">
        <v>945</v>
      </c>
    </row>
    <row r="35" spans="1:22">
      <c r="A35">
        <v>34</v>
      </c>
      <c r="B35" t="s">
        <v>50</v>
      </c>
      <c r="C35" t="s">
        <v>234</v>
      </c>
      <c r="D35" t="s">
        <v>402</v>
      </c>
      <c r="I35">
        <v>5800</v>
      </c>
      <c r="K35" t="s">
        <v>436</v>
      </c>
      <c r="L35">
        <f>HYPERLINK("https://maps.cookcountyil.gov/cookviewer/?search=3133 N KENMORE AVE", "3133 N KENMORE AVE")</f>
        <v>0</v>
      </c>
      <c r="N35" t="s">
        <v>586</v>
      </c>
      <c r="P35" t="s">
        <v>614</v>
      </c>
      <c r="Q35" t="s">
        <v>795</v>
      </c>
      <c r="U35">
        <f>HYPERLINK("https://www.cookcountyassessoril.gov/pin/14292030090000", "14-29-203-009-0000")</f>
        <v>0</v>
      </c>
      <c r="V35" t="s">
        <v>944</v>
      </c>
    </row>
    <row r="36" spans="1:22">
      <c r="A36">
        <v>35</v>
      </c>
      <c r="B36" t="s">
        <v>51</v>
      </c>
      <c r="C36" t="s">
        <v>235</v>
      </c>
      <c r="D36" t="s">
        <v>404</v>
      </c>
      <c r="I36">
        <v>10000</v>
      </c>
      <c r="K36" t="s">
        <v>437</v>
      </c>
      <c r="L36">
        <f>HYPERLINK("https://maps.cookcountyil.gov/cookviewer/?search=1901 W MADISON ST", "1901 W MADISON ST")</f>
        <v>0</v>
      </c>
      <c r="N36" t="s">
        <v>586</v>
      </c>
      <c r="P36" t="s">
        <v>615</v>
      </c>
      <c r="Q36" t="s">
        <v>796</v>
      </c>
      <c r="U36">
        <f>HYPERLINK("https://www.cookcountyassessoril.gov/pin/17182260270000", "17-18-226-027-0000"), =HYPERLINK("https://www.cookcountyassessoril.gov/pin/17182010350000", "17-18-201-035-0000"), =HYPERLINK("https://www.cookcountyassessoril.gov/pin/17182020380000", "17-18-202-038-0000")</f>
        <v>0</v>
      </c>
      <c r="V36" t="s">
        <v>944</v>
      </c>
    </row>
    <row r="37" spans="1:22">
      <c r="A37">
        <v>36</v>
      </c>
      <c r="B37" t="s">
        <v>52</v>
      </c>
      <c r="C37" t="s">
        <v>236</v>
      </c>
      <c r="D37" t="s">
        <v>403</v>
      </c>
      <c r="I37">
        <v>27591</v>
      </c>
      <c r="K37" t="s">
        <v>438</v>
      </c>
      <c r="L37">
        <f>HYPERLINK("https://maps.cookcountyil.gov/cookviewer/?search=13251 S EXCHANGE AVE", "13251 S EXCHANGE AVE")</f>
        <v>0</v>
      </c>
      <c r="N37" t="s">
        <v>586</v>
      </c>
      <c r="P37" t="s">
        <v>616</v>
      </c>
      <c r="Q37" t="s">
        <v>797</v>
      </c>
      <c r="U37">
        <f>HYPERLINK("https://www.cookcountyassessoril.gov/pin/26311140140000", "26-31-114-014-0000")</f>
        <v>0</v>
      </c>
      <c r="V37" t="s">
        <v>945</v>
      </c>
    </row>
    <row r="38" spans="1:22">
      <c r="A38">
        <v>37</v>
      </c>
      <c r="B38" t="s">
        <v>53</v>
      </c>
      <c r="C38" t="s">
        <v>237</v>
      </c>
      <c r="D38" t="s">
        <v>402</v>
      </c>
      <c r="I38">
        <v>3500</v>
      </c>
      <c r="K38" t="s">
        <v>439</v>
      </c>
      <c r="L38">
        <f>HYPERLINK("https://maps.cookcountyil.gov/cookviewer/?search=218 N MASON AVE", "218 N MASON AVE")</f>
        <v>0</v>
      </c>
      <c r="N38" t="s">
        <v>586</v>
      </c>
      <c r="P38" t="s">
        <v>617</v>
      </c>
      <c r="Q38" t="s">
        <v>798</v>
      </c>
      <c r="U38">
        <f>HYPERLINK("https://www.cookcountyassessoril.gov/pin/16084060190000", "16-08-406-019-0000")</f>
        <v>0</v>
      </c>
      <c r="V38" t="s">
        <v>944</v>
      </c>
    </row>
    <row r="39" spans="1:22">
      <c r="A39">
        <v>38</v>
      </c>
      <c r="B39" t="s">
        <v>52</v>
      </c>
      <c r="C39" t="s">
        <v>238</v>
      </c>
      <c r="D39" t="s">
        <v>402</v>
      </c>
      <c r="I39">
        <v>5000</v>
      </c>
      <c r="K39" t="s">
        <v>438</v>
      </c>
      <c r="L39">
        <f>HYPERLINK("https://maps.cookcountyil.gov/cookviewer/?search=13251 S EXCHANGE AVE", "13251 S EXCHANGE AVE")</f>
        <v>0</v>
      </c>
      <c r="N39" t="s">
        <v>586</v>
      </c>
      <c r="P39" t="s">
        <v>616</v>
      </c>
      <c r="Q39" t="s">
        <v>786</v>
      </c>
      <c r="U39">
        <f>HYPERLINK("https://www.cookcountyassessoril.gov/pin/26311140140000", "26-31-114-014-0000")</f>
        <v>0</v>
      </c>
      <c r="V39" t="s">
        <v>944</v>
      </c>
    </row>
    <row r="40" spans="1:22">
      <c r="A40">
        <v>39</v>
      </c>
      <c r="B40" t="s">
        <v>54</v>
      </c>
      <c r="C40" t="s">
        <v>239</v>
      </c>
      <c r="D40" t="s">
        <v>402</v>
      </c>
      <c r="I40">
        <v>3000</v>
      </c>
      <c r="K40" t="s">
        <v>440</v>
      </c>
      <c r="L40">
        <f>HYPERLINK("https://maps.cookcountyil.gov/cookviewer/?search=6611 S PEORIA ST", "6611 S PEORIA ST")</f>
        <v>0</v>
      </c>
      <c r="N40" t="s">
        <v>586</v>
      </c>
      <c r="P40" t="s">
        <v>618</v>
      </c>
      <c r="Q40" t="s">
        <v>799</v>
      </c>
      <c r="U40">
        <f>HYPERLINK("https://www.cookcountyassessoril.gov/pin/20202300050000", "20-20-230-005-0000")</f>
        <v>0</v>
      </c>
      <c r="V40" t="s">
        <v>944</v>
      </c>
    </row>
    <row r="41" spans="1:22">
      <c r="A41">
        <v>40</v>
      </c>
      <c r="B41" t="s">
        <v>55</v>
      </c>
      <c r="C41" t="s">
        <v>240</v>
      </c>
      <c r="D41" t="s">
        <v>407</v>
      </c>
      <c r="I41">
        <v>35000</v>
      </c>
      <c r="K41" t="s">
        <v>441</v>
      </c>
      <c r="L41">
        <f>HYPERLINK("https://maps.cookcountyil.gov/cookviewer/?search=3015 N CLIFTON AVE", "3015 N CLIFTON AVE")</f>
        <v>0</v>
      </c>
      <c r="N41" t="s">
        <v>586</v>
      </c>
      <c r="P41" t="s">
        <v>619</v>
      </c>
      <c r="Q41" t="s">
        <v>800</v>
      </c>
      <c r="U41">
        <f>HYPERLINK("https://www.cookcountyassessoril.gov/pin/14292080180000", "14-29-208-018-0000")</f>
        <v>0</v>
      </c>
      <c r="V41" t="s">
        <v>944</v>
      </c>
    </row>
    <row r="42" spans="1:22">
      <c r="A42">
        <v>41</v>
      </c>
      <c r="B42" t="s">
        <v>56</v>
      </c>
      <c r="C42" t="s">
        <v>241</v>
      </c>
      <c r="D42" t="s">
        <v>403</v>
      </c>
      <c r="I42">
        <v>18243</v>
      </c>
      <c r="K42" t="s">
        <v>442</v>
      </c>
      <c r="L42">
        <f>HYPERLINK("https://maps.cookcountyil.gov/cookviewer/?search=5801 S OAK PARK AVE", "5801 S OAK PARK AVE")</f>
        <v>0</v>
      </c>
      <c r="N42" t="s">
        <v>586</v>
      </c>
      <c r="P42" t="s">
        <v>620</v>
      </c>
      <c r="Q42" t="s">
        <v>801</v>
      </c>
      <c r="U42" t="s">
        <v>943</v>
      </c>
      <c r="V42" t="s">
        <v>945</v>
      </c>
    </row>
    <row r="43" spans="1:22">
      <c r="A43">
        <v>42</v>
      </c>
      <c r="B43" t="s">
        <v>57</v>
      </c>
      <c r="C43" t="s">
        <v>242</v>
      </c>
      <c r="D43" t="s">
        <v>404</v>
      </c>
      <c r="I43">
        <v>8000</v>
      </c>
      <c r="K43" t="s">
        <v>443</v>
      </c>
      <c r="L43">
        <f>HYPERLINK("https://maps.cookcountyil.gov/cookviewer/?search=305 N CENTRAL PARK AVE", "305 N CENTRAL PARK AVE")</f>
        <v>0</v>
      </c>
      <c r="N43" t="s">
        <v>586</v>
      </c>
      <c r="P43" t="s">
        <v>621</v>
      </c>
      <c r="Q43" t="s">
        <v>802</v>
      </c>
      <c r="U43" t="s">
        <v>943</v>
      </c>
      <c r="V43" t="s">
        <v>944</v>
      </c>
    </row>
    <row r="44" spans="1:22">
      <c r="A44">
        <v>43</v>
      </c>
      <c r="B44" t="s">
        <v>56</v>
      </c>
      <c r="C44" t="s">
        <v>243</v>
      </c>
      <c r="D44" t="s">
        <v>402</v>
      </c>
      <c r="I44">
        <v>5000</v>
      </c>
      <c r="K44" t="s">
        <v>442</v>
      </c>
      <c r="L44">
        <f>HYPERLINK("https://maps.cookcountyil.gov/cookviewer/?search=5801 S OAK PARK AVE", "5801 S OAK PARK AVE")</f>
        <v>0</v>
      </c>
      <c r="N44" t="s">
        <v>586</v>
      </c>
      <c r="P44" t="s">
        <v>620</v>
      </c>
      <c r="Q44" t="s">
        <v>803</v>
      </c>
      <c r="U44" t="s">
        <v>943</v>
      </c>
      <c r="V44" t="s">
        <v>944</v>
      </c>
    </row>
    <row r="45" spans="1:22">
      <c r="A45">
        <v>44</v>
      </c>
      <c r="B45" t="s">
        <v>58</v>
      </c>
      <c r="C45" t="s">
        <v>244</v>
      </c>
      <c r="D45" t="s">
        <v>403</v>
      </c>
      <c r="I45">
        <v>16359</v>
      </c>
      <c r="K45" t="s">
        <v>444</v>
      </c>
      <c r="L45">
        <f>HYPERLINK("https://maps.cookcountyil.gov/cookviewer/?search=4627 S LARAMIE AVE", "4627 S LARAMIE AVE")</f>
        <v>0</v>
      </c>
      <c r="N45" t="s">
        <v>586</v>
      </c>
      <c r="P45" t="s">
        <v>622</v>
      </c>
      <c r="Q45" t="s">
        <v>804</v>
      </c>
      <c r="U45">
        <f>HYPERLINK("https://www.cookcountyassessoril.gov/pin/19044240100000", "19-04-424-010-0000")</f>
        <v>0</v>
      </c>
      <c r="V45" t="s">
        <v>945</v>
      </c>
    </row>
    <row r="46" spans="1:22">
      <c r="A46">
        <v>45</v>
      </c>
      <c r="B46" t="s">
        <v>59</v>
      </c>
      <c r="C46" t="s">
        <v>245</v>
      </c>
      <c r="D46" t="s">
        <v>402</v>
      </c>
      <c r="I46">
        <v>9900</v>
      </c>
      <c r="K46" t="s">
        <v>445</v>
      </c>
      <c r="L46">
        <f>HYPERLINK("https://maps.cookcountyil.gov/cookviewer/?search=9310 S BISHOP ST", "9310 S BISHOP ST")</f>
        <v>0</v>
      </c>
      <c r="N46" t="s">
        <v>586</v>
      </c>
      <c r="P46" t="s">
        <v>623</v>
      </c>
      <c r="Q46" t="s">
        <v>805</v>
      </c>
      <c r="U46" t="s">
        <v>943</v>
      </c>
      <c r="V46" t="s">
        <v>944</v>
      </c>
    </row>
    <row r="47" spans="1:22">
      <c r="A47">
        <v>46</v>
      </c>
      <c r="B47" t="s">
        <v>60</v>
      </c>
      <c r="C47" t="s">
        <v>246</v>
      </c>
      <c r="D47" t="s">
        <v>404</v>
      </c>
      <c r="I47">
        <v>24928</v>
      </c>
      <c r="K47" t="s">
        <v>446</v>
      </c>
      <c r="L47">
        <f>HYPERLINK("https://maps.cookcountyil.gov/cookviewer/?search=2901 W 73RD ST", "2901 W 73RD ST")</f>
        <v>0</v>
      </c>
      <c r="N47" t="s">
        <v>586</v>
      </c>
      <c r="P47" t="s">
        <v>624</v>
      </c>
      <c r="Q47" t="s">
        <v>806</v>
      </c>
      <c r="U47">
        <f>HYPERLINK("https://www.cookcountyassessoril.gov/pin/19251210190000", "19-25-121-019-0000")</f>
        <v>0</v>
      </c>
      <c r="V47" t="s">
        <v>945</v>
      </c>
    </row>
    <row r="48" spans="1:22">
      <c r="A48">
        <v>47</v>
      </c>
      <c r="B48" t="s">
        <v>61</v>
      </c>
      <c r="C48" t="s">
        <v>247</v>
      </c>
      <c r="D48" t="s">
        <v>404</v>
      </c>
      <c r="I48">
        <v>1134630</v>
      </c>
      <c r="K48" t="s">
        <v>447</v>
      </c>
      <c r="L48">
        <f>HYPERLINK("https://maps.cookcountyil.gov/cookviewer/?search=2552 W OGDEN AVE", "2552 W OGDEN AVE")</f>
        <v>0</v>
      </c>
      <c r="N48" t="s">
        <v>586</v>
      </c>
      <c r="P48" t="s">
        <v>625</v>
      </c>
      <c r="Q48" t="s">
        <v>807</v>
      </c>
      <c r="U48">
        <f>HYPERLINK("https://www.cookcountyassessoril.gov/pin/16242040080000", "16-24-204-008-0000")</f>
        <v>0</v>
      </c>
      <c r="V48" t="s">
        <v>945</v>
      </c>
    </row>
    <row r="49" spans="1:22">
      <c r="A49">
        <v>48</v>
      </c>
      <c r="B49" t="s">
        <v>62</v>
      </c>
      <c r="C49" t="s">
        <v>248</v>
      </c>
      <c r="D49" t="s">
        <v>404</v>
      </c>
      <c r="I49">
        <v>75835</v>
      </c>
      <c r="K49" t="s">
        <v>448</v>
      </c>
      <c r="L49">
        <f>HYPERLINK("https://maps.cookcountyil.gov/cookviewer/?search=233 S WACKER DR", "233 S WACKER DR")</f>
        <v>0</v>
      </c>
      <c r="N49" t="s">
        <v>586</v>
      </c>
      <c r="P49" t="s">
        <v>626</v>
      </c>
      <c r="Q49" t="s">
        <v>808</v>
      </c>
      <c r="U49">
        <f>HYPERLINK("https://www.cookcountyassessoril.gov/pin/17162160090000", "17-16-216-009-0000")</f>
        <v>0</v>
      </c>
      <c r="V49" t="s">
        <v>944</v>
      </c>
    </row>
    <row r="50" spans="1:22">
      <c r="A50">
        <v>49</v>
      </c>
      <c r="B50" t="s">
        <v>63</v>
      </c>
      <c r="C50" t="s">
        <v>249</v>
      </c>
      <c r="D50" t="s">
        <v>402</v>
      </c>
      <c r="I50">
        <v>1996</v>
      </c>
      <c r="K50" t="s">
        <v>449</v>
      </c>
      <c r="L50">
        <f>HYPERLINK("https://maps.cookcountyil.gov/cookviewer/?search=3105 N SAWYER AVE", "3105 N SAWYER AVE")</f>
        <v>0</v>
      </c>
      <c r="N50" t="s">
        <v>586</v>
      </c>
      <c r="P50" t="s">
        <v>627</v>
      </c>
      <c r="Q50" t="s">
        <v>809</v>
      </c>
      <c r="U50">
        <f>HYPERLINK("https://www.cookcountyassessoril.gov/pin/13262070200000", "13-26-207-020-0000")</f>
        <v>0</v>
      </c>
      <c r="V50" t="s">
        <v>945</v>
      </c>
    </row>
    <row r="51" spans="1:22">
      <c r="A51">
        <v>50</v>
      </c>
      <c r="B51" t="s">
        <v>64</v>
      </c>
      <c r="C51" t="s">
        <v>250</v>
      </c>
      <c r="D51" t="s">
        <v>404</v>
      </c>
      <c r="I51">
        <v>21359</v>
      </c>
      <c r="K51" t="s">
        <v>450</v>
      </c>
      <c r="L51">
        <f>HYPERLINK("https://maps.cookcountyil.gov/cookviewer/?search=9761 S ELLIS AVE", "9761 S ELLIS AVE")</f>
        <v>0</v>
      </c>
      <c r="N51" t="s">
        <v>586</v>
      </c>
      <c r="P51" t="s">
        <v>628</v>
      </c>
      <c r="Q51" t="s">
        <v>810</v>
      </c>
      <c r="U51">
        <f>HYPERLINK("https://www.cookcountyassessoril.gov/pin/25111130210000", "25-11-113-021-0000")</f>
        <v>0</v>
      </c>
      <c r="V51" t="s">
        <v>945</v>
      </c>
    </row>
    <row r="52" spans="1:22">
      <c r="A52">
        <v>51</v>
      </c>
      <c r="B52" t="s">
        <v>65</v>
      </c>
      <c r="C52" t="s">
        <v>251</v>
      </c>
      <c r="D52" t="s">
        <v>403</v>
      </c>
      <c r="I52">
        <v>22600</v>
      </c>
      <c r="K52" t="s">
        <v>451</v>
      </c>
      <c r="L52">
        <f>HYPERLINK("https://maps.cookcountyil.gov/cookviewer/?search=5000 N NEWLAND AVE", "5000 N NEWLAND AVE")</f>
        <v>0</v>
      </c>
      <c r="N52" t="s">
        <v>586</v>
      </c>
      <c r="P52" t="s">
        <v>629</v>
      </c>
      <c r="Q52" t="s">
        <v>811</v>
      </c>
      <c r="U52">
        <f>HYPERLINK("https://www.cookcountyassessoril.gov/pin/13073150380000", "13-07-315-038-0000")</f>
        <v>0</v>
      </c>
      <c r="V52" t="s">
        <v>945</v>
      </c>
    </row>
    <row r="53" spans="1:22">
      <c r="A53">
        <v>52</v>
      </c>
      <c r="B53" t="s">
        <v>66</v>
      </c>
      <c r="C53" t="s">
        <v>252</v>
      </c>
      <c r="D53" t="s">
        <v>405</v>
      </c>
      <c r="I53">
        <v>36000</v>
      </c>
      <c r="K53" t="s">
        <v>452</v>
      </c>
      <c r="L53">
        <f>HYPERLINK("https://maps.cookcountyil.gov/cookviewer/?search=1753 W CORNELIA AVE", "1753 W CORNELIA AVE")</f>
        <v>0</v>
      </c>
      <c r="N53" t="s">
        <v>586</v>
      </c>
      <c r="P53" t="s">
        <v>630</v>
      </c>
      <c r="Q53" t="s">
        <v>812</v>
      </c>
      <c r="U53" t="s">
        <v>943</v>
      </c>
      <c r="V53" t="s">
        <v>944</v>
      </c>
    </row>
    <row r="54" spans="1:22">
      <c r="A54">
        <v>53</v>
      </c>
      <c r="B54" t="s">
        <v>64</v>
      </c>
      <c r="C54" t="s">
        <v>253</v>
      </c>
      <c r="D54" t="s">
        <v>404</v>
      </c>
      <c r="I54">
        <v>8569</v>
      </c>
      <c r="K54" t="s">
        <v>450</v>
      </c>
      <c r="L54">
        <f>HYPERLINK("https://maps.cookcountyil.gov/cookviewer/?search=9761 S ELLIS AVE", "9761 S ELLIS AVE")</f>
        <v>0</v>
      </c>
      <c r="N54" t="s">
        <v>586</v>
      </c>
      <c r="P54" t="s">
        <v>628</v>
      </c>
      <c r="Q54" t="s">
        <v>813</v>
      </c>
      <c r="U54">
        <f>HYPERLINK("https://www.cookcountyassessoril.gov/pin/25111130210000", "25-11-113-021-0000")</f>
        <v>0</v>
      </c>
      <c r="V54" t="s">
        <v>945</v>
      </c>
    </row>
    <row r="55" spans="1:22">
      <c r="A55">
        <v>54</v>
      </c>
      <c r="B55" t="s">
        <v>66</v>
      </c>
      <c r="C55" t="s">
        <v>254</v>
      </c>
      <c r="D55" t="s">
        <v>404</v>
      </c>
      <c r="I55">
        <v>2000</v>
      </c>
      <c r="K55" t="s">
        <v>452</v>
      </c>
      <c r="L55">
        <f>HYPERLINK("https://maps.cookcountyil.gov/cookviewer/?search=1753 W CORNELIA AVE", "1753 W CORNELIA AVE")</f>
        <v>0</v>
      </c>
      <c r="N55" t="s">
        <v>586</v>
      </c>
      <c r="P55" t="s">
        <v>630</v>
      </c>
      <c r="Q55" t="s">
        <v>814</v>
      </c>
      <c r="U55" t="s">
        <v>943</v>
      </c>
      <c r="V55" t="s">
        <v>944</v>
      </c>
    </row>
    <row r="56" spans="1:22">
      <c r="A56">
        <v>55</v>
      </c>
      <c r="B56" t="s">
        <v>64</v>
      </c>
      <c r="C56" t="s">
        <v>255</v>
      </c>
      <c r="D56" t="s">
        <v>402</v>
      </c>
      <c r="I56">
        <v>5680</v>
      </c>
      <c r="K56" t="s">
        <v>450</v>
      </c>
      <c r="L56">
        <f>HYPERLINK("https://maps.cookcountyil.gov/cookviewer/?search=9761 S ELLIS AVE", "9761 S ELLIS AVE")</f>
        <v>0</v>
      </c>
      <c r="N56" t="s">
        <v>586</v>
      </c>
      <c r="P56" t="s">
        <v>628</v>
      </c>
      <c r="Q56" t="s">
        <v>815</v>
      </c>
      <c r="U56">
        <f>HYPERLINK("https://www.cookcountyassessoril.gov/pin/25111130210000", "25-11-113-021-0000")</f>
        <v>0</v>
      </c>
      <c r="V56" t="s">
        <v>944</v>
      </c>
    </row>
    <row r="57" spans="1:22">
      <c r="A57">
        <v>56</v>
      </c>
      <c r="B57" t="s">
        <v>67</v>
      </c>
      <c r="C57" t="s">
        <v>256</v>
      </c>
      <c r="D57" t="s">
        <v>402</v>
      </c>
      <c r="I57">
        <v>20830</v>
      </c>
      <c r="K57" t="s">
        <v>453</v>
      </c>
      <c r="L57">
        <f>HYPERLINK("https://maps.cookcountyil.gov/cookviewer/?search=3604 W 111TH ST", "3604 W 111TH ST")</f>
        <v>0</v>
      </c>
      <c r="N57" t="s">
        <v>586</v>
      </c>
      <c r="P57" t="s">
        <v>631</v>
      </c>
      <c r="Q57" t="s">
        <v>816</v>
      </c>
      <c r="U57">
        <f>HYPERLINK("https://www.cookcountyassessoril.gov/pin/24143170831001", "24-14-317-083-1001"), =HYPERLINK("https://www.cookcountyassessoril.gov/pin/24143170831002", "24-14-317-083-1002")</f>
        <v>0</v>
      </c>
      <c r="V57" t="s">
        <v>945</v>
      </c>
    </row>
    <row r="58" spans="1:22">
      <c r="A58">
        <v>57</v>
      </c>
      <c r="B58" t="s">
        <v>68</v>
      </c>
      <c r="C58" t="s">
        <v>257</v>
      </c>
      <c r="D58" t="s">
        <v>402</v>
      </c>
      <c r="I58">
        <v>2000</v>
      </c>
      <c r="K58" t="s">
        <v>454</v>
      </c>
      <c r="L58">
        <f>HYPERLINK("https://maps.cookcountyil.gov/cookviewer/?search=4342 N ST LOUIS AVE", "4342 N ST LOUIS AVE")</f>
        <v>0</v>
      </c>
      <c r="N58" t="s">
        <v>586</v>
      </c>
      <c r="P58" t="s">
        <v>632</v>
      </c>
      <c r="Q58" t="s">
        <v>817</v>
      </c>
      <c r="U58" t="s">
        <v>943</v>
      </c>
      <c r="V58" t="s">
        <v>944</v>
      </c>
    </row>
    <row r="59" spans="1:22">
      <c r="A59">
        <v>58</v>
      </c>
      <c r="B59" t="s">
        <v>69</v>
      </c>
      <c r="C59" t="s">
        <v>258</v>
      </c>
      <c r="D59" t="s">
        <v>404</v>
      </c>
      <c r="I59">
        <v>14348</v>
      </c>
      <c r="K59" t="s">
        <v>455</v>
      </c>
      <c r="L59">
        <f>HYPERLINK("https://maps.cookcountyil.gov/cookviewer/?search=10110 S RHODES AVE", "10110 S RHODES AVE")</f>
        <v>0</v>
      </c>
      <c r="N59" t="s">
        <v>586</v>
      </c>
      <c r="P59" t="s">
        <v>633</v>
      </c>
      <c r="Q59" t="s">
        <v>818</v>
      </c>
      <c r="U59">
        <f>HYPERLINK("https://www.cookcountyassessoril.gov/pin/25104090230000", "25-10-409-023-0000")</f>
        <v>0</v>
      </c>
      <c r="V59" t="s">
        <v>945</v>
      </c>
    </row>
    <row r="60" spans="1:22">
      <c r="A60">
        <v>59</v>
      </c>
      <c r="B60" t="s">
        <v>70</v>
      </c>
      <c r="C60" t="s">
        <v>259</v>
      </c>
      <c r="D60" t="s">
        <v>406</v>
      </c>
      <c r="I60">
        <v>24000</v>
      </c>
      <c r="K60" t="s">
        <v>456</v>
      </c>
      <c r="L60">
        <f>HYPERLINK("https://maps.cookcountyil.gov/cookviewer/?search=5018 W DEMING PL", "5018 W DEMING PL")</f>
        <v>0</v>
      </c>
      <c r="N60" t="s">
        <v>586</v>
      </c>
      <c r="P60" t="s">
        <v>634</v>
      </c>
      <c r="Q60" t="s">
        <v>812</v>
      </c>
      <c r="U60">
        <f>HYPERLINK("https://www.cookcountyassessoril.gov/pin/13284170330000", "13-28-417-033-0000")</f>
        <v>0</v>
      </c>
      <c r="V60" t="s">
        <v>944</v>
      </c>
    </row>
    <row r="61" spans="1:22">
      <c r="A61">
        <v>60</v>
      </c>
      <c r="B61" t="s">
        <v>71</v>
      </c>
      <c r="C61" t="s">
        <v>260</v>
      </c>
      <c r="D61" t="s">
        <v>406</v>
      </c>
      <c r="I61">
        <v>50000</v>
      </c>
      <c r="K61" t="s">
        <v>457</v>
      </c>
      <c r="L61">
        <f>HYPERLINK("https://maps.cookcountyil.gov/cookviewer/?search=1225 W OHIO ST", "1225 W OHIO ST")</f>
        <v>0</v>
      </c>
      <c r="N61" t="s">
        <v>586</v>
      </c>
      <c r="P61" t="s">
        <v>635</v>
      </c>
      <c r="Q61" t="s">
        <v>812</v>
      </c>
      <c r="U61" t="s">
        <v>943</v>
      </c>
      <c r="V61" t="s">
        <v>944</v>
      </c>
    </row>
    <row r="62" spans="1:22">
      <c r="A62">
        <v>61</v>
      </c>
      <c r="B62" t="s">
        <v>72</v>
      </c>
      <c r="C62" t="s">
        <v>261</v>
      </c>
      <c r="D62" t="s">
        <v>404</v>
      </c>
      <c r="I62">
        <v>8569</v>
      </c>
      <c r="K62" t="s">
        <v>458</v>
      </c>
      <c r="L62">
        <f>HYPERLINK("https://maps.cookcountyil.gov/cookviewer/?search=5758 S TALMAN AVE", "5758 S TALMAN AVE")</f>
        <v>0</v>
      </c>
      <c r="N62" t="s">
        <v>586</v>
      </c>
      <c r="P62" t="s">
        <v>636</v>
      </c>
      <c r="Q62" t="s">
        <v>819</v>
      </c>
      <c r="U62">
        <f>HYPERLINK("https://www.cookcountyassessoril.gov/pin/19132140330000", "19-13-214-033-0000")</f>
        <v>0</v>
      </c>
      <c r="V62" t="s">
        <v>945</v>
      </c>
    </row>
    <row r="63" spans="1:22">
      <c r="A63">
        <v>62</v>
      </c>
      <c r="B63" t="s">
        <v>73</v>
      </c>
      <c r="C63" t="s">
        <v>262</v>
      </c>
      <c r="D63" t="s">
        <v>403</v>
      </c>
      <c r="I63">
        <v>50000</v>
      </c>
      <c r="K63" t="s">
        <v>459</v>
      </c>
      <c r="L63">
        <f>HYPERLINK("https://maps.cookcountyil.gov/cookviewer/?search=2801 N OAKLEY AVE", "2801 N OAKLEY AVE")</f>
        <v>0</v>
      </c>
      <c r="N63" t="s">
        <v>586</v>
      </c>
      <c r="P63" t="s">
        <v>637</v>
      </c>
      <c r="Q63" t="s">
        <v>820</v>
      </c>
      <c r="U63" t="s">
        <v>943</v>
      </c>
      <c r="V63" t="s">
        <v>944</v>
      </c>
    </row>
    <row r="64" spans="1:22">
      <c r="A64">
        <v>63</v>
      </c>
      <c r="B64" t="s">
        <v>72</v>
      </c>
      <c r="C64" t="s">
        <v>263</v>
      </c>
      <c r="D64" t="s">
        <v>402</v>
      </c>
      <c r="I64">
        <v>10000</v>
      </c>
      <c r="K64" t="s">
        <v>458</v>
      </c>
      <c r="L64">
        <f>HYPERLINK("https://maps.cookcountyil.gov/cookviewer/?search=5758 S TALMAN AVE", "5758 S TALMAN AVE")</f>
        <v>0</v>
      </c>
      <c r="N64" t="s">
        <v>586</v>
      </c>
      <c r="P64" t="s">
        <v>636</v>
      </c>
      <c r="Q64" t="s">
        <v>786</v>
      </c>
      <c r="U64">
        <f>HYPERLINK("https://www.cookcountyassessoril.gov/pin/19132140330000", "19-13-214-033-0000")</f>
        <v>0</v>
      </c>
      <c r="V64" t="s">
        <v>944</v>
      </c>
    </row>
    <row r="65" spans="1:22">
      <c r="A65">
        <v>64</v>
      </c>
      <c r="B65" t="s">
        <v>74</v>
      </c>
      <c r="C65" t="s">
        <v>264</v>
      </c>
      <c r="D65" t="s">
        <v>402</v>
      </c>
      <c r="I65">
        <v>3975</v>
      </c>
      <c r="K65" t="s">
        <v>460</v>
      </c>
      <c r="L65">
        <f>HYPERLINK("https://maps.cookcountyil.gov/cookviewer/?search=5146 W AGATITE AVE", "5146 W AGATITE AVE")</f>
        <v>0</v>
      </c>
      <c r="N65" t="s">
        <v>586</v>
      </c>
      <c r="P65" t="s">
        <v>638</v>
      </c>
      <c r="Q65" t="s">
        <v>821</v>
      </c>
      <c r="U65" t="s">
        <v>943</v>
      </c>
      <c r="V65" t="s">
        <v>944</v>
      </c>
    </row>
    <row r="66" spans="1:22">
      <c r="A66">
        <v>65</v>
      </c>
      <c r="B66" t="s">
        <v>75</v>
      </c>
      <c r="C66" t="s">
        <v>265</v>
      </c>
      <c r="D66" t="s">
        <v>404</v>
      </c>
      <c r="I66">
        <v>30000</v>
      </c>
      <c r="K66" t="s">
        <v>461</v>
      </c>
      <c r="L66">
        <f>HYPERLINK("https://maps.cookcountyil.gov/cookviewer/?search=2339 W GRENSHAW ST", "2339 W GRENSHAW ST")</f>
        <v>0</v>
      </c>
      <c r="N66" t="s">
        <v>586</v>
      </c>
      <c r="P66" t="s">
        <v>639</v>
      </c>
      <c r="Q66" t="s">
        <v>822</v>
      </c>
      <c r="U66">
        <f>HYPERLINK("https://www.cookcountyassessoril.gov/pin/17183350080000", "17-18-335-008-0000")</f>
        <v>0</v>
      </c>
      <c r="V66" t="s">
        <v>945</v>
      </c>
    </row>
    <row r="67" spans="1:22">
      <c r="A67">
        <v>66</v>
      </c>
      <c r="B67" t="s">
        <v>76</v>
      </c>
      <c r="C67" t="s">
        <v>266</v>
      </c>
      <c r="D67" t="s">
        <v>403</v>
      </c>
      <c r="I67">
        <v>8750</v>
      </c>
      <c r="K67" t="s">
        <v>462</v>
      </c>
      <c r="L67">
        <f>HYPERLINK("https://maps.cookcountyil.gov/cookviewer/?search=8728 S COMMERCIAL AVE", "8728 S COMMERCIAL AVE")</f>
        <v>0</v>
      </c>
      <c r="N67" t="s">
        <v>586</v>
      </c>
      <c r="P67" t="s">
        <v>640</v>
      </c>
      <c r="Q67" t="s">
        <v>823</v>
      </c>
      <c r="U67">
        <f>HYPERLINK("https://www.cookcountyassessoril.gov/pin/26062020270000", "26-06-202-027-0000")</f>
        <v>0</v>
      </c>
      <c r="V67" t="s">
        <v>944</v>
      </c>
    </row>
    <row r="68" spans="1:22">
      <c r="A68">
        <v>67</v>
      </c>
      <c r="B68" t="s">
        <v>77</v>
      </c>
      <c r="C68" t="s">
        <v>267</v>
      </c>
      <c r="D68" t="s">
        <v>401</v>
      </c>
      <c r="I68">
        <v>6500</v>
      </c>
      <c r="K68" t="s">
        <v>463</v>
      </c>
      <c r="L68">
        <f>HYPERLINK("https://maps.cookcountyil.gov/cookviewer/?search=4830 W AUGUSTA BLVD", "4830 W AUGUSTA BLVD")</f>
        <v>0</v>
      </c>
      <c r="N68" t="s">
        <v>586</v>
      </c>
      <c r="P68" t="s">
        <v>641</v>
      </c>
      <c r="Q68" t="s">
        <v>824</v>
      </c>
      <c r="U68">
        <f>HYPERLINK("https://www.cookcountyassessoril.gov/pin/16044140200000", "16-04-414-020-0000")</f>
        <v>0</v>
      </c>
      <c r="V68" t="s">
        <v>944</v>
      </c>
    </row>
    <row r="69" spans="1:22">
      <c r="A69">
        <v>68</v>
      </c>
      <c r="B69" t="s">
        <v>78</v>
      </c>
      <c r="C69" t="s">
        <v>268</v>
      </c>
      <c r="D69" t="s">
        <v>408</v>
      </c>
      <c r="I69">
        <v>1000</v>
      </c>
      <c r="K69" t="s">
        <v>464</v>
      </c>
      <c r="L69">
        <f>HYPERLINK("https://maps.cookcountyil.gov/cookviewer/?search=13441 S AVENUE M", "13441 S AVENUE M")</f>
        <v>0</v>
      </c>
      <c r="N69" t="s">
        <v>586</v>
      </c>
      <c r="P69" t="s">
        <v>642</v>
      </c>
      <c r="Q69" t="s">
        <v>825</v>
      </c>
      <c r="U69">
        <f>HYPERLINK("https://www.cookcountyassessoril.gov/pin/26323020140000", "26-32-302-014-0000")</f>
        <v>0</v>
      </c>
      <c r="V69" t="s">
        <v>944</v>
      </c>
    </row>
    <row r="70" spans="1:22">
      <c r="A70">
        <v>69</v>
      </c>
      <c r="B70" t="s">
        <v>79</v>
      </c>
      <c r="C70" t="s">
        <v>269</v>
      </c>
      <c r="D70" t="s">
        <v>403</v>
      </c>
      <c r="I70">
        <v>3993</v>
      </c>
      <c r="K70" t="s">
        <v>465</v>
      </c>
      <c r="L70">
        <f>HYPERLINK("https://maps.cookcountyil.gov/cookviewer/?search=1747 W FULLERTON AVE", "1747 W FULLERTON AVE")</f>
        <v>0</v>
      </c>
      <c r="N70" t="s">
        <v>586</v>
      </c>
      <c r="P70" t="s">
        <v>643</v>
      </c>
      <c r="Q70" t="s">
        <v>826</v>
      </c>
      <c r="U70">
        <f>HYPERLINK("https://www.cookcountyassessoril.gov/pin/14312010900000", "14-31-201-090-0000")</f>
        <v>0</v>
      </c>
      <c r="V70" t="s">
        <v>944</v>
      </c>
    </row>
    <row r="71" spans="1:22">
      <c r="A71">
        <v>70</v>
      </c>
      <c r="B71" t="s">
        <v>80</v>
      </c>
      <c r="C71" t="s">
        <v>270</v>
      </c>
      <c r="D71" t="s">
        <v>403</v>
      </c>
      <c r="I71">
        <v>3764</v>
      </c>
      <c r="K71" t="s">
        <v>466</v>
      </c>
      <c r="L71">
        <f>HYPERLINK("https://maps.cookcountyil.gov/cookviewer/?search=3415 N WESTERN AVE", "3415 N WESTERN AVE")</f>
        <v>0</v>
      </c>
      <c r="N71" t="s">
        <v>586</v>
      </c>
      <c r="P71" t="s">
        <v>643</v>
      </c>
      <c r="Q71" t="s">
        <v>827</v>
      </c>
      <c r="U71" t="s">
        <v>943</v>
      </c>
      <c r="V71" t="s">
        <v>944</v>
      </c>
    </row>
    <row r="72" spans="1:22">
      <c r="A72">
        <v>71</v>
      </c>
      <c r="B72" t="s">
        <v>81</v>
      </c>
      <c r="C72" t="s">
        <v>271</v>
      </c>
      <c r="D72" t="s">
        <v>403</v>
      </c>
      <c r="I72">
        <v>26300</v>
      </c>
      <c r="K72" t="s">
        <v>467</v>
      </c>
      <c r="L72">
        <f>HYPERLINK("https://maps.cookcountyil.gov/cookviewer/?search=4717 N AVERS AVE", "4717 N AVERS AVE")</f>
        <v>0</v>
      </c>
      <c r="N72" t="s">
        <v>586</v>
      </c>
      <c r="P72" t="s">
        <v>644</v>
      </c>
      <c r="Q72" t="s">
        <v>828</v>
      </c>
      <c r="U72">
        <f>HYPERLINK("https://www.cookcountyassessoril.gov/pin/13141030130000", "13-14-103-013-0000")</f>
        <v>0</v>
      </c>
      <c r="V72" t="s">
        <v>945</v>
      </c>
    </row>
    <row r="73" spans="1:22">
      <c r="A73">
        <v>72</v>
      </c>
      <c r="B73" t="s">
        <v>82</v>
      </c>
      <c r="C73" t="s">
        <v>272</v>
      </c>
      <c r="D73" t="s">
        <v>408</v>
      </c>
      <c r="I73">
        <v>49350</v>
      </c>
      <c r="K73" t="s">
        <v>468</v>
      </c>
      <c r="L73">
        <f>HYPERLINK("https://maps.cookcountyil.gov/cookviewer/?search=527 W ALDINE AVE", "527 W ALDINE AVE")</f>
        <v>0</v>
      </c>
      <c r="N73" t="s">
        <v>586</v>
      </c>
      <c r="P73" t="s">
        <v>645</v>
      </c>
      <c r="Q73" t="s">
        <v>829</v>
      </c>
      <c r="U73" t="s">
        <v>943</v>
      </c>
      <c r="V73" t="s">
        <v>944</v>
      </c>
    </row>
    <row r="74" spans="1:22">
      <c r="A74">
        <v>73</v>
      </c>
      <c r="B74" t="s">
        <v>83</v>
      </c>
      <c r="C74" t="s">
        <v>273</v>
      </c>
      <c r="D74" t="s">
        <v>408</v>
      </c>
      <c r="I74">
        <v>18800</v>
      </c>
      <c r="K74" t="s">
        <v>469</v>
      </c>
      <c r="L74">
        <f>HYPERLINK("https://maps.cookcountyil.gov/cookviewer/?search=5540 S BLACKSTONE AVE", "5540 S BLACKSTONE AVE")</f>
        <v>0</v>
      </c>
      <c r="N74" t="s">
        <v>586</v>
      </c>
      <c r="P74" t="s">
        <v>646</v>
      </c>
      <c r="Q74" t="s">
        <v>830</v>
      </c>
      <c r="U74" t="s">
        <v>943</v>
      </c>
      <c r="V74" t="s">
        <v>944</v>
      </c>
    </row>
    <row r="75" spans="1:22">
      <c r="A75">
        <v>74</v>
      </c>
      <c r="B75" t="s">
        <v>84</v>
      </c>
      <c r="C75" t="s">
        <v>274</v>
      </c>
      <c r="D75" t="s">
        <v>404</v>
      </c>
      <c r="I75">
        <v>7000</v>
      </c>
      <c r="K75" t="s">
        <v>470</v>
      </c>
      <c r="L75">
        <f>HYPERLINK("https://maps.cookcountyil.gov/cookviewer/?search=1453 N SPRINGFIELD AVE", "1453 N SPRINGFIELD AVE")</f>
        <v>0</v>
      </c>
      <c r="N75" t="s">
        <v>586</v>
      </c>
      <c r="P75" t="s">
        <v>647</v>
      </c>
      <c r="Q75" t="s">
        <v>831</v>
      </c>
      <c r="U75">
        <f>HYPERLINK("https://www.cookcountyassessoril.gov/pin/16021100030000", "16-02-110-003-0000")</f>
        <v>0</v>
      </c>
      <c r="V75" t="s">
        <v>944</v>
      </c>
    </row>
    <row r="76" spans="1:22">
      <c r="A76">
        <v>75</v>
      </c>
      <c r="B76" t="s">
        <v>85</v>
      </c>
      <c r="C76" t="s">
        <v>275</v>
      </c>
      <c r="D76" t="s">
        <v>408</v>
      </c>
      <c r="I76">
        <v>2000</v>
      </c>
      <c r="K76" t="s">
        <v>471</v>
      </c>
      <c r="L76">
        <f>HYPERLINK("https://maps.cookcountyil.gov/cookviewer/?search=8001 S WENTWORTH AVE", "8001 S WENTWORTH AVE")</f>
        <v>0</v>
      </c>
      <c r="N76" t="s">
        <v>586</v>
      </c>
      <c r="P76" t="s">
        <v>648</v>
      </c>
      <c r="Q76" t="s">
        <v>832</v>
      </c>
      <c r="U76" t="s">
        <v>943</v>
      </c>
      <c r="V76" t="s">
        <v>944</v>
      </c>
    </row>
    <row r="77" spans="1:22">
      <c r="A77">
        <v>76</v>
      </c>
      <c r="B77" t="s">
        <v>86</v>
      </c>
      <c r="C77" t="s">
        <v>276</v>
      </c>
      <c r="D77" t="s">
        <v>403</v>
      </c>
      <c r="I77">
        <v>100</v>
      </c>
      <c r="K77" t="s">
        <v>472</v>
      </c>
      <c r="L77">
        <f>HYPERLINK("https://maps.cookcountyil.gov/cookviewer/?search=1631 E 71ST ST", "1631 E 71ST ST")</f>
        <v>0</v>
      </c>
      <c r="N77" t="s">
        <v>586</v>
      </c>
      <c r="P77" t="s">
        <v>649</v>
      </c>
      <c r="Q77" t="s">
        <v>833</v>
      </c>
      <c r="U77">
        <f>HYPERLINK("https://www.cookcountyassessoril.gov/pin/20251010010000", "20-25-101-001-0000")</f>
        <v>0</v>
      </c>
      <c r="V77" t="s">
        <v>944</v>
      </c>
    </row>
    <row r="78" spans="1:22">
      <c r="A78">
        <v>77</v>
      </c>
      <c r="B78" t="s">
        <v>87</v>
      </c>
      <c r="C78" t="s">
        <v>277</v>
      </c>
      <c r="D78" t="s">
        <v>408</v>
      </c>
      <c r="I78">
        <v>2000</v>
      </c>
      <c r="K78" t="s">
        <v>473</v>
      </c>
      <c r="L78">
        <f>HYPERLINK("https://maps.cookcountyil.gov/cookviewer/?search=5261 W WINDSOR AVE", "5261 W WINDSOR AVE")</f>
        <v>0</v>
      </c>
      <c r="N78" t="s">
        <v>586</v>
      </c>
      <c r="P78" t="s">
        <v>650</v>
      </c>
      <c r="Q78" t="s">
        <v>834</v>
      </c>
      <c r="U78">
        <f>HYPERLINK("https://www.cookcountyassessoril.gov/pin/13161210050000", "13-16-121-005-0000")</f>
        <v>0</v>
      </c>
      <c r="V78" t="s">
        <v>944</v>
      </c>
    </row>
    <row r="79" spans="1:22">
      <c r="A79">
        <v>78</v>
      </c>
      <c r="B79" t="s">
        <v>88</v>
      </c>
      <c r="C79" t="s">
        <v>278</v>
      </c>
      <c r="D79" t="s">
        <v>405</v>
      </c>
      <c r="I79">
        <v>32900</v>
      </c>
      <c r="K79" t="s">
        <v>474</v>
      </c>
      <c r="L79">
        <f>HYPERLINK("https://maps.cookcountyil.gov/cookviewer/?search=5637 N MEADE AVE", "5637 N MEADE AVE")</f>
        <v>0</v>
      </c>
      <c r="N79" t="s">
        <v>586</v>
      </c>
      <c r="P79" t="s">
        <v>651</v>
      </c>
      <c r="Q79" t="s">
        <v>835</v>
      </c>
      <c r="U79" t="s">
        <v>943</v>
      </c>
      <c r="V79" t="s">
        <v>945</v>
      </c>
    </row>
    <row r="80" spans="1:22">
      <c r="A80">
        <v>79</v>
      </c>
      <c r="B80" t="s">
        <v>89</v>
      </c>
      <c r="C80" t="s">
        <v>279</v>
      </c>
      <c r="D80" t="s">
        <v>405</v>
      </c>
      <c r="I80">
        <v>20000</v>
      </c>
      <c r="K80" t="s">
        <v>475</v>
      </c>
      <c r="L80">
        <f>HYPERLINK("https://maps.cookcountyil.gov/cookviewer/?search=1140 W WASHINGTON BLVD", "1140 W WASHINGTON BLVD")</f>
        <v>0</v>
      </c>
      <c r="N80" t="s">
        <v>586</v>
      </c>
      <c r="P80" t="s">
        <v>652</v>
      </c>
      <c r="Q80" t="s">
        <v>836</v>
      </c>
      <c r="U80">
        <f>HYPERLINK("https://www.cookcountyassessoril.gov/pin/17084350170000", "17-08-435-017-0000")</f>
        <v>0</v>
      </c>
      <c r="V80" t="s">
        <v>945</v>
      </c>
    </row>
    <row r="81" spans="1:22">
      <c r="A81">
        <v>80</v>
      </c>
      <c r="B81" t="s">
        <v>89</v>
      </c>
      <c r="C81" t="s">
        <v>280</v>
      </c>
      <c r="D81" t="s">
        <v>405</v>
      </c>
      <c r="I81">
        <v>75000</v>
      </c>
      <c r="K81" t="s">
        <v>475</v>
      </c>
      <c r="L81">
        <f>HYPERLINK("https://maps.cookcountyil.gov/cookviewer/?search=1140 W WASHINGTON BLVD", "1140 W WASHINGTON BLVD")</f>
        <v>0</v>
      </c>
      <c r="N81" t="s">
        <v>586</v>
      </c>
      <c r="P81" t="s">
        <v>652</v>
      </c>
      <c r="Q81" t="s">
        <v>837</v>
      </c>
      <c r="U81">
        <f>HYPERLINK("https://www.cookcountyassessoril.gov/pin/17084350170000", "17-08-435-017-0000")</f>
        <v>0</v>
      </c>
      <c r="V81" t="s">
        <v>944</v>
      </c>
    </row>
    <row r="82" spans="1:22">
      <c r="A82">
        <v>81</v>
      </c>
      <c r="B82" t="s">
        <v>90</v>
      </c>
      <c r="C82" t="s">
        <v>281</v>
      </c>
      <c r="D82" t="s">
        <v>403</v>
      </c>
      <c r="I82">
        <v>8133</v>
      </c>
      <c r="K82" t="s">
        <v>476</v>
      </c>
      <c r="L82">
        <f>HYPERLINK("https://maps.cookcountyil.gov/cookviewer/?search=5621 N NAGLE AVE", "5621 N NAGLE AVE")</f>
        <v>0</v>
      </c>
      <c r="N82" t="s">
        <v>586</v>
      </c>
      <c r="P82" t="s">
        <v>587</v>
      </c>
      <c r="Q82" t="s">
        <v>838</v>
      </c>
      <c r="U82">
        <f>HYPERLINK("https://www.cookcountyassessoril.gov/pin/13053250140000", "13-05-325-014-0000")</f>
        <v>0</v>
      </c>
      <c r="V82" t="s">
        <v>944</v>
      </c>
    </row>
    <row r="83" spans="1:22">
      <c r="A83">
        <v>82</v>
      </c>
      <c r="B83" t="s">
        <v>91</v>
      </c>
      <c r="C83" t="s">
        <v>282</v>
      </c>
      <c r="D83" t="s">
        <v>403</v>
      </c>
      <c r="I83">
        <v>5320</v>
      </c>
      <c r="K83" t="s">
        <v>477</v>
      </c>
      <c r="L83">
        <f>HYPERLINK("https://maps.cookcountyil.gov/cookviewer/?search=5144 S PARKSIDE AVE", "5144 S PARKSIDE AVE")</f>
        <v>0</v>
      </c>
      <c r="N83" t="s">
        <v>586</v>
      </c>
      <c r="P83" t="s">
        <v>653</v>
      </c>
      <c r="Q83" t="s">
        <v>815</v>
      </c>
      <c r="U83">
        <f>HYPERLINK("https://www.cookcountyassessoril.gov/pin/19084060420000", "19-08-406-042-0000")</f>
        <v>0</v>
      </c>
      <c r="V83" t="s">
        <v>944</v>
      </c>
    </row>
    <row r="84" spans="1:22">
      <c r="A84">
        <v>83</v>
      </c>
      <c r="B84" t="s">
        <v>92</v>
      </c>
      <c r="C84" t="s">
        <v>283</v>
      </c>
      <c r="D84" t="s">
        <v>406</v>
      </c>
      <c r="I84">
        <v>200</v>
      </c>
      <c r="K84" t="s">
        <v>478</v>
      </c>
      <c r="L84">
        <f>HYPERLINK("https://maps.cookcountyil.gov/cookviewer/?search=2905 W PERSHING RD", "2905 W PERSHING RD")</f>
        <v>0</v>
      </c>
      <c r="N84" t="s">
        <v>586</v>
      </c>
      <c r="P84" t="s">
        <v>654</v>
      </c>
      <c r="Q84" t="s">
        <v>839</v>
      </c>
      <c r="U84">
        <f>HYPERLINK("https://www.cookcountyassessoril.gov/pin/19011020200000", "19-01-102-020-0000")</f>
        <v>0</v>
      </c>
      <c r="V84" t="s">
        <v>944</v>
      </c>
    </row>
    <row r="85" spans="1:22">
      <c r="A85">
        <v>84</v>
      </c>
      <c r="B85" t="s">
        <v>93</v>
      </c>
      <c r="C85" t="s">
        <v>284</v>
      </c>
      <c r="D85" t="s">
        <v>403</v>
      </c>
      <c r="I85">
        <v>7550</v>
      </c>
      <c r="K85" t="s">
        <v>479</v>
      </c>
      <c r="L85">
        <f>HYPERLINK("https://maps.cookcountyil.gov/cookviewer/?search=11717 S LONGWOOD DR", "11717 S LONGWOOD DR")</f>
        <v>0</v>
      </c>
      <c r="N85" t="s">
        <v>586</v>
      </c>
      <c r="P85" t="s">
        <v>655</v>
      </c>
      <c r="Q85" t="s">
        <v>840</v>
      </c>
      <c r="U85" t="s">
        <v>943</v>
      </c>
      <c r="V85" t="s">
        <v>944</v>
      </c>
    </row>
    <row r="86" spans="1:22">
      <c r="A86">
        <v>85</v>
      </c>
      <c r="B86" t="s">
        <v>94</v>
      </c>
      <c r="C86" t="s">
        <v>285</v>
      </c>
      <c r="D86" t="s">
        <v>403</v>
      </c>
      <c r="I86">
        <v>200</v>
      </c>
      <c r="K86" t="s">
        <v>480</v>
      </c>
      <c r="L86">
        <f>HYPERLINK("https://maps.cookcountyil.gov/cookviewer/?search=4851 W CULLOM AVE", "4851 W CULLOM AVE")</f>
        <v>0</v>
      </c>
      <c r="N86" t="s">
        <v>586</v>
      </c>
      <c r="P86" t="s">
        <v>656</v>
      </c>
      <c r="Q86" t="s">
        <v>841</v>
      </c>
      <c r="U86">
        <f>HYPERLINK("https://www.cookcountyassessoril.gov/pin/13164100030000", "13-16-410-003-0000")</f>
        <v>0</v>
      </c>
      <c r="V86" t="s">
        <v>944</v>
      </c>
    </row>
    <row r="87" spans="1:22">
      <c r="A87">
        <v>86</v>
      </c>
      <c r="B87" t="s">
        <v>95</v>
      </c>
      <c r="C87" t="s">
        <v>286</v>
      </c>
      <c r="D87" t="s">
        <v>403</v>
      </c>
      <c r="I87">
        <v>30000</v>
      </c>
      <c r="K87" t="s">
        <v>481</v>
      </c>
      <c r="L87">
        <f>HYPERLINK("https://maps.cookcountyil.gov/cookviewer/?search=176 N LAPORTE AVE", "176 N LAPORTE AVE")</f>
        <v>0</v>
      </c>
      <c r="N87" t="s">
        <v>586</v>
      </c>
      <c r="P87" t="s">
        <v>657</v>
      </c>
      <c r="Q87" t="s">
        <v>842</v>
      </c>
      <c r="U87">
        <f>HYPERLINK("https://www.cookcountyassessoril.gov/pin/16094160150000", "16-09-416-015-0000")</f>
        <v>0</v>
      </c>
      <c r="V87" t="s">
        <v>945</v>
      </c>
    </row>
    <row r="88" spans="1:22">
      <c r="A88">
        <v>87</v>
      </c>
      <c r="B88" t="s">
        <v>96</v>
      </c>
      <c r="C88" t="s">
        <v>287</v>
      </c>
      <c r="D88" t="s">
        <v>403</v>
      </c>
      <c r="I88">
        <v>35955</v>
      </c>
      <c r="K88" t="s">
        <v>482</v>
      </c>
      <c r="L88">
        <f>HYPERLINK("https://maps.cookcountyil.gov/cookviewer/?search=1955 N DAMEN AVE", "1955 N DAMEN AVE")</f>
        <v>0</v>
      </c>
      <c r="N88" t="s">
        <v>586</v>
      </c>
      <c r="P88" t="s">
        <v>658</v>
      </c>
      <c r="Q88" t="s">
        <v>843</v>
      </c>
      <c r="U88">
        <f>HYPERLINK("https://www.cookcountyassessoril.gov/pin/14314000490000", "14-31-400-049-0000")</f>
        <v>0</v>
      </c>
      <c r="V88" t="s">
        <v>944</v>
      </c>
    </row>
    <row r="89" spans="1:22">
      <c r="A89">
        <v>88</v>
      </c>
      <c r="B89" t="s">
        <v>97</v>
      </c>
      <c r="C89" t="s">
        <v>288</v>
      </c>
      <c r="D89" t="s">
        <v>404</v>
      </c>
      <c r="I89">
        <v>75000</v>
      </c>
      <c r="K89" t="s">
        <v>483</v>
      </c>
      <c r="L89">
        <f>HYPERLINK("https://maps.cookcountyil.gov/cookviewer/?search=1850 N CLARK ST", "1850 N CLARK ST")</f>
        <v>0</v>
      </c>
      <c r="N89" t="s">
        <v>586</v>
      </c>
      <c r="P89" t="s">
        <v>659</v>
      </c>
      <c r="Q89" t="s">
        <v>844</v>
      </c>
      <c r="U89" t="s">
        <v>943</v>
      </c>
      <c r="V89" t="s">
        <v>944</v>
      </c>
    </row>
    <row r="90" spans="1:22">
      <c r="A90">
        <v>89</v>
      </c>
      <c r="B90" t="s">
        <v>98</v>
      </c>
      <c r="C90" t="s">
        <v>289</v>
      </c>
      <c r="D90" t="s">
        <v>403</v>
      </c>
      <c r="I90">
        <v>47257</v>
      </c>
      <c r="K90" t="s">
        <v>484</v>
      </c>
      <c r="L90">
        <f>HYPERLINK("https://maps.cookcountyil.gov/cookviewer/?search=5708 W BYRON ST", "5708 W BYRON ST")</f>
        <v>0</v>
      </c>
      <c r="N90" t="s">
        <v>586</v>
      </c>
      <c r="P90" t="s">
        <v>660</v>
      </c>
      <c r="Q90" t="s">
        <v>845</v>
      </c>
      <c r="U90">
        <f>HYPERLINK("https://www.cookcountyassessoril.gov/pin/13202060320000", "13-20-206-032-0000")</f>
        <v>0</v>
      </c>
      <c r="V90" t="s">
        <v>945</v>
      </c>
    </row>
    <row r="91" spans="1:22">
      <c r="A91">
        <v>90</v>
      </c>
      <c r="B91" t="s">
        <v>99</v>
      </c>
      <c r="C91" t="s">
        <v>290</v>
      </c>
      <c r="D91" t="s">
        <v>403</v>
      </c>
      <c r="I91">
        <v>45186</v>
      </c>
      <c r="K91" t="s">
        <v>485</v>
      </c>
      <c r="L91">
        <f>HYPERLINK("https://maps.cookcountyil.gov/cookviewer/?search=5120 S SACRAMENTO AVE", "5120 S SACRAMENTO AVE")</f>
        <v>0</v>
      </c>
      <c r="N91" t="s">
        <v>586</v>
      </c>
      <c r="P91" t="s">
        <v>661</v>
      </c>
      <c r="Q91" t="s">
        <v>846</v>
      </c>
      <c r="U91" t="s">
        <v>943</v>
      </c>
      <c r="V91" t="s">
        <v>945</v>
      </c>
    </row>
    <row r="92" spans="1:22">
      <c r="A92">
        <v>91</v>
      </c>
      <c r="B92" t="s">
        <v>100</v>
      </c>
      <c r="C92" t="s">
        <v>291</v>
      </c>
      <c r="D92" t="s">
        <v>404</v>
      </c>
      <c r="I92">
        <v>900</v>
      </c>
      <c r="K92" t="s">
        <v>486</v>
      </c>
      <c r="L92">
        <f>HYPERLINK("https://maps.cookcountyil.gov/cookviewer/?search=740 E ADMINISTRATION DR", "740 E ADMINISTRATION DR")</f>
        <v>0</v>
      </c>
      <c r="N92" t="s">
        <v>586</v>
      </c>
      <c r="P92" t="s">
        <v>662</v>
      </c>
      <c r="Q92" t="s">
        <v>847</v>
      </c>
      <c r="U92" t="s">
        <v>943</v>
      </c>
      <c r="V92" t="s">
        <v>944</v>
      </c>
    </row>
    <row r="93" spans="1:22">
      <c r="A93">
        <v>92</v>
      </c>
      <c r="B93" t="s">
        <v>101</v>
      </c>
      <c r="C93" t="s">
        <v>292</v>
      </c>
      <c r="D93" t="s">
        <v>404</v>
      </c>
      <c r="I93">
        <v>5685</v>
      </c>
      <c r="K93" t="s">
        <v>487</v>
      </c>
      <c r="L93">
        <f>HYPERLINK("https://maps.cookcountyil.gov/cookviewer/?search=9214 S BENNETT AVE", "9214 S BENNETT AVE")</f>
        <v>0</v>
      </c>
      <c r="N93" t="s">
        <v>586</v>
      </c>
      <c r="P93" t="s">
        <v>663</v>
      </c>
      <c r="Q93" t="s">
        <v>848</v>
      </c>
      <c r="U93">
        <f>HYPERLINK("https://www.cookcountyassessoril.gov/pin/25013130190000", "25-01-313-019-0000")</f>
        <v>0</v>
      </c>
      <c r="V93" t="s">
        <v>944</v>
      </c>
    </row>
    <row r="94" spans="1:22">
      <c r="A94">
        <v>93</v>
      </c>
      <c r="B94" t="s">
        <v>102</v>
      </c>
      <c r="C94" t="s">
        <v>293</v>
      </c>
      <c r="D94" t="s">
        <v>403</v>
      </c>
      <c r="I94">
        <v>10350</v>
      </c>
      <c r="K94" t="s">
        <v>488</v>
      </c>
      <c r="L94">
        <f>HYPERLINK("https://maps.cookcountyil.gov/cookviewer/?search=1741 N SAYRE AVE", "1741 N SAYRE AVE")</f>
        <v>0</v>
      </c>
      <c r="N94" t="s">
        <v>586</v>
      </c>
      <c r="P94" t="s">
        <v>664</v>
      </c>
      <c r="Q94" t="s">
        <v>849</v>
      </c>
      <c r="U94">
        <f>HYPERLINK("https://www.cookcountyassessoril.gov/pin/13313170070000", "13-31-317-007-0000")</f>
        <v>0</v>
      </c>
      <c r="V94" t="s">
        <v>944</v>
      </c>
    </row>
    <row r="95" spans="1:22">
      <c r="A95">
        <v>94</v>
      </c>
      <c r="B95" t="s">
        <v>103</v>
      </c>
      <c r="C95" t="s">
        <v>294</v>
      </c>
      <c r="D95" t="s">
        <v>403</v>
      </c>
      <c r="I95">
        <v>14300</v>
      </c>
      <c r="K95" t="s">
        <v>489</v>
      </c>
      <c r="L95">
        <f>HYPERLINK("https://maps.cookcountyil.gov/cookviewer/?search=8921 S EBERHART AVE", "8921 S EBERHART AVE")</f>
        <v>0</v>
      </c>
      <c r="N95" t="s">
        <v>586</v>
      </c>
      <c r="P95" t="s">
        <v>665</v>
      </c>
      <c r="Q95" t="s">
        <v>850</v>
      </c>
      <c r="U95">
        <f>HYPERLINK("https://www.cookcountyassessoril.gov/pin/25032170230000", "25-03-217-023-0000"), =HYPERLINK("https://www.cookcountyassessoril.gov/pin/25032170240000", "25-03-217-024-0000")</f>
        <v>0</v>
      </c>
      <c r="V95" t="s">
        <v>944</v>
      </c>
    </row>
    <row r="96" spans="1:22">
      <c r="A96">
        <v>95</v>
      </c>
      <c r="B96" t="s">
        <v>104</v>
      </c>
      <c r="C96" t="s">
        <v>294</v>
      </c>
      <c r="D96" t="s">
        <v>403</v>
      </c>
      <c r="I96">
        <v>14300</v>
      </c>
      <c r="K96" t="s">
        <v>489</v>
      </c>
      <c r="L96">
        <f>HYPERLINK("https://maps.cookcountyil.gov/cookviewer/?search=8921 S EBERHART AVE", "8921 S EBERHART AVE")</f>
        <v>0</v>
      </c>
      <c r="N96" t="s">
        <v>586</v>
      </c>
      <c r="P96" t="s">
        <v>665</v>
      </c>
      <c r="Q96" t="s">
        <v>850</v>
      </c>
      <c r="U96">
        <f>HYPERLINK("https://www.cookcountyassessoril.gov/pin/25032170230000", "25-03-217-023-0000"), =HYPERLINK("https://www.cookcountyassessoril.gov/pin/25032170240000", "25-03-217-024-0000")</f>
        <v>0</v>
      </c>
      <c r="V96" t="s">
        <v>944</v>
      </c>
    </row>
    <row r="97" spans="1:22">
      <c r="A97">
        <v>96</v>
      </c>
      <c r="B97" t="s">
        <v>105</v>
      </c>
      <c r="C97" t="s">
        <v>295</v>
      </c>
      <c r="D97" t="s">
        <v>404</v>
      </c>
      <c r="I97">
        <v>23700</v>
      </c>
      <c r="K97" t="s">
        <v>490</v>
      </c>
      <c r="L97">
        <f>HYPERLINK("https://maps.cookcountyil.gov/cookviewer/?search=10302 S AVENUE N", "10302 S AVENUE N")</f>
        <v>0</v>
      </c>
      <c r="N97" t="s">
        <v>586</v>
      </c>
      <c r="P97" t="s">
        <v>666</v>
      </c>
      <c r="Q97" t="s">
        <v>851</v>
      </c>
      <c r="U97" t="s">
        <v>943</v>
      </c>
      <c r="V97" t="s">
        <v>944</v>
      </c>
    </row>
    <row r="98" spans="1:22">
      <c r="A98">
        <v>97</v>
      </c>
      <c r="B98" t="s">
        <v>106</v>
      </c>
      <c r="C98" t="s">
        <v>296</v>
      </c>
      <c r="D98" t="s">
        <v>403</v>
      </c>
      <c r="I98">
        <v>6500</v>
      </c>
      <c r="K98" t="s">
        <v>491</v>
      </c>
      <c r="L98">
        <f>HYPERLINK("https://maps.cookcountyil.gov/cookviewer/?search=14 N PEORIA ST", "14 N PEORIA ST")</f>
        <v>0</v>
      </c>
      <c r="N98" t="s">
        <v>586</v>
      </c>
      <c r="P98" t="s">
        <v>667</v>
      </c>
      <c r="Q98" t="s">
        <v>852</v>
      </c>
      <c r="U98" t="s">
        <v>943</v>
      </c>
      <c r="V98" t="s">
        <v>944</v>
      </c>
    </row>
    <row r="99" spans="1:22">
      <c r="A99">
        <v>98</v>
      </c>
      <c r="B99" t="s">
        <v>107</v>
      </c>
      <c r="C99" t="s">
        <v>297</v>
      </c>
      <c r="D99" t="s">
        <v>405</v>
      </c>
      <c r="I99">
        <v>35381</v>
      </c>
      <c r="K99" t="s">
        <v>492</v>
      </c>
      <c r="L99">
        <f>HYPERLINK("https://maps.cookcountyil.gov/cookviewer/?search=7937 S ELLIS AVE", "7937 S ELLIS AVE")</f>
        <v>0</v>
      </c>
      <c r="N99" t="s">
        <v>586</v>
      </c>
      <c r="P99" t="s">
        <v>668</v>
      </c>
      <c r="Q99" t="s">
        <v>853</v>
      </c>
      <c r="U99">
        <f>HYPERLINK("https://www.cookcountyassessoril.gov/pin/20351040100000", "20-35-104-010-0000")</f>
        <v>0</v>
      </c>
      <c r="V99" t="s">
        <v>945</v>
      </c>
    </row>
    <row r="100" spans="1:22">
      <c r="A100">
        <v>99</v>
      </c>
      <c r="B100" t="s">
        <v>108</v>
      </c>
      <c r="C100" t="s">
        <v>298</v>
      </c>
      <c r="D100" t="s">
        <v>403</v>
      </c>
      <c r="I100">
        <v>19146</v>
      </c>
      <c r="K100" t="s">
        <v>493</v>
      </c>
      <c r="L100">
        <f>HYPERLINK("https://maps.cookcountyil.gov/cookviewer/?search=10149 S SPRINGFIELD AVE", "10149 S SPRINGFIELD AVE")</f>
        <v>0</v>
      </c>
      <c r="N100" t="s">
        <v>586</v>
      </c>
      <c r="P100" t="s">
        <v>669</v>
      </c>
      <c r="Q100" t="s">
        <v>854</v>
      </c>
      <c r="U100">
        <f>HYPERLINK("https://www.cookcountyassessoril.gov/pin/24113050290000", "24-11-305-029-0000")</f>
        <v>0</v>
      </c>
      <c r="V100" t="s">
        <v>945</v>
      </c>
    </row>
    <row r="101" spans="1:22">
      <c r="A101">
        <v>100</v>
      </c>
      <c r="B101" t="s">
        <v>109</v>
      </c>
      <c r="C101" t="s">
        <v>299</v>
      </c>
      <c r="D101" t="s">
        <v>403</v>
      </c>
      <c r="I101">
        <v>5000</v>
      </c>
      <c r="K101" t="s">
        <v>494</v>
      </c>
      <c r="L101">
        <f>HYPERLINK("https://maps.cookcountyil.gov/cookviewer/?search=4130 W CORNELIA AVE", "4130 W CORNELIA AVE")</f>
        <v>0</v>
      </c>
      <c r="N101" t="s">
        <v>586</v>
      </c>
      <c r="P101" t="s">
        <v>670</v>
      </c>
      <c r="Q101" t="s">
        <v>786</v>
      </c>
      <c r="U101">
        <f>HYPERLINK("https://www.cookcountyassessoril.gov/pin/13224070230000", "13-22-407-023-0000")</f>
        <v>0</v>
      </c>
      <c r="V101" t="s">
        <v>944</v>
      </c>
    </row>
    <row r="102" spans="1:22">
      <c r="A102">
        <v>101</v>
      </c>
      <c r="B102" t="s">
        <v>110</v>
      </c>
      <c r="C102" t="s">
        <v>300</v>
      </c>
      <c r="D102" t="s">
        <v>403</v>
      </c>
      <c r="I102">
        <v>6200</v>
      </c>
      <c r="K102" t="s">
        <v>495</v>
      </c>
      <c r="L102">
        <f>HYPERLINK("https://maps.cookcountyil.gov/cookviewer/?search=11202 S SPAULDING AVE", "11202 S SPAULDING AVE")</f>
        <v>0</v>
      </c>
      <c r="N102" t="s">
        <v>586</v>
      </c>
      <c r="P102" t="s">
        <v>671</v>
      </c>
      <c r="Q102" t="s">
        <v>855</v>
      </c>
      <c r="U102">
        <f>HYPERLINK("https://www.cookcountyassessoril.gov/pin/24232050490000", "24-23-205-049-0000")</f>
        <v>0</v>
      </c>
      <c r="V102" t="s">
        <v>944</v>
      </c>
    </row>
    <row r="103" spans="1:22">
      <c r="A103">
        <v>102</v>
      </c>
      <c r="B103" t="s">
        <v>111</v>
      </c>
      <c r="C103" t="s">
        <v>301</v>
      </c>
      <c r="D103" t="s">
        <v>403</v>
      </c>
      <c r="I103">
        <v>5700</v>
      </c>
      <c r="K103" t="s">
        <v>496</v>
      </c>
      <c r="L103">
        <f>HYPERLINK("https://maps.cookcountyil.gov/cookviewer/?search=3238 W 84TH PL", "3238 W 84TH PL")</f>
        <v>0</v>
      </c>
      <c r="N103" t="s">
        <v>586</v>
      </c>
      <c r="P103" t="s">
        <v>672</v>
      </c>
      <c r="Q103" t="s">
        <v>856</v>
      </c>
      <c r="U103">
        <f>HYPERLINK("https://www.cookcountyassessoril.gov/pin/19354110640000", "19-35-411-064-0000")</f>
        <v>0</v>
      </c>
      <c r="V103" t="s">
        <v>944</v>
      </c>
    </row>
    <row r="104" spans="1:22">
      <c r="A104">
        <v>103</v>
      </c>
      <c r="B104" t="s">
        <v>112</v>
      </c>
      <c r="C104" t="s">
        <v>302</v>
      </c>
      <c r="D104" t="s">
        <v>405</v>
      </c>
      <c r="I104">
        <v>6000</v>
      </c>
      <c r="K104" t="s">
        <v>497</v>
      </c>
      <c r="L104">
        <f>HYPERLINK("https://maps.cookcountyil.gov/cookviewer/?search=5126 N WOLCOTT AVE", "5126 N WOLCOTT AVE")</f>
        <v>0</v>
      </c>
      <c r="N104" t="s">
        <v>586</v>
      </c>
      <c r="P104" t="s">
        <v>673</v>
      </c>
      <c r="Q104" t="s">
        <v>857</v>
      </c>
      <c r="U104">
        <f>HYPERLINK("https://www.cookcountyassessoril.gov/pin/14074010110000", "14-07-401-011-0000")</f>
        <v>0</v>
      </c>
      <c r="V104" t="s">
        <v>944</v>
      </c>
    </row>
    <row r="105" spans="1:22">
      <c r="A105">
        <v>104</v>
      </c>
      <c r="B105" t="s">
        <v>113</v>
      </c>
      <c r="C105" t="s">
        <v>303</v>
      </c>
      <c r="D105" t="s">
        <v>403</v>
      </c>
      <c r="I105">
        <v>4250</v>
      </c>
      <c r="K105" t="s">
        <v>498</v>
      </c>
      <c r="L105">
        <f>HYPERLINK("https://maps.cookcountyil.gov/cookviewer/?search=5407 N ST LOUIS AVE", "5407 N ST LOUIS AVE")</f>
        <v>0</v>
      </c>
      <c r="N105" t="s">
        <v>586</v>
      </c>
      <c r="P105" t="s">
        <v>674</v>
      </c>
      <c r="Q105" t="s">
        <v>858</v>
      </c>
      <c r="U105" t="s">
        <v>943</v>
      </c>
      <c r="V105" t="s">
        <v>944</v>
      </c>
    </row>
    <row r="106" spans="1:22">
      <c r="A106">
        <v>105</v>
      </c>
      <c r="B106" t="s">
        <v>114</v>
      </c>
      <c r="C106" t="s">
        <v>304</v>
      </c>
      <c r="D106" t="s">
        <v>405</v>
      </c>
      <c r="I106">
        <v>5000</v>
      </c>
      <c r="K106" t="s">
        <v>499</v>
      </c>
      <c r="L106">
        <f>HYPERLINK("https://maps.cookcountyil.gov/cookviewer/?search=7200 S PRAIRIE AVE", "7200 S PRAIRIE AVE")</f>
        <v>0</v>
      </c>
      <c r="N106" t="s">
        <v>586</v>
      </c>
      <c r="P106" t="s">
        <v>675</v>
      </c>
      <c r="Q106" t="s">
        <v>859</v>
      </c>
      <c r="U106">
        <f>HYPERLINK("https://www.cookcountyassessoril.gov/pin/20271090190000", "20-27-109-019-0000")</f>
        <v>0</v>
      </c>
      <c r="V106" t="s">
        <v>944</v>
      </c>
    </row>
    <row r="107" spans="1:22">
      <c r="A107">
        <v>106</v>
      </c>
      <c r="B107" t="s">
        <v>115</v>
      </c>
      <c r="C107" t="s">
        <v>305</v>
      </c>
      <c r="D107" t="s">
        <v>403</v>
      </c>
      <c r="I107">
        <v>3565</v>
      </c>
      <c r="K107" t="s">
        <v>500</v>
      </c>
      <c r="L107">
        <f>HYPERLINK("https://maps.cookcountyil.gov/cookviewer/?search=5701 N SHERIDAN RD", "5701 N SHERIDAN RD")</f>
        <v>0</v>
      </c>
      <c r="N107" t="s">
        <v>586</v>
      </c>
      <c r="P107" t="s">
        <v>676</v>
      </c>
      <c r="Q107" t="s">
        <v>860</v>
      </c>
      <c r="U107">
        <f>HYPERLINK("https://www.cookcountyassessoril.gov/pin/14054070171139", "14-05-407-017-1139"), =HYPERLINK("https://www.cookcountyassessoril.gov/pin/14054070171137", "14-05-407-017-1137"), =HYPERLINK("https://www.cookcountyassessoril.gov/pin/14054070171138", "14-05-407-017-1138"), =HYPERLINK("https://www.cookcountyassessoril.gov/pin/14054070171136", "14-05-407-017-1136")</f>
        <v>0</v>
      </c>
      <c r="V107" t="s">
        <v>944</v>
      </c>
    </row>
    <row r="108" spans="1:22">
      <c r="A108">
        <v>107</v>
      </c>
      <c r="B108" t="s">
        <v>40</v>
      </c>
      <c r="C108" t="s">
        <v>306</v>
      </c>
      <c r="D108" t="s">
        <v>403</v>
      </c>
      <c r="I108">
        <v>9500</v>
      </c>
      <c r="K108" t="s">
        <v>426</v>
      </c>
      <c r="L108">
        <f>HYPERLINK("https://maps.cookcountyil.gov/cookviewer/?search=8323 S ABERDEEN ST", "8323 S ABERDEEN ST")</f>
        <v>0</v>
      </c>
      <c r="N108" t="s">
        <v>586</v>
      </c>
      <c r="P108" t="s">
        <v>677</v>
      </c>
      <c r="Q108" t="s">
        <v>861</v>
      </c>
      <c r="U108">
        <f>HYPERLINK("https://www.cookcountyassessoril.gov/pin/20324020080000", "20-32-402-008-0000")</f>
        <v>0</v>
      </c>
      <c r="V108" t="s">
        <v>945</v>
      </c>
    </row>
    <row r="109" spans="1:22">
      <c r="A109">
        <v>108</v>
      </c>
      <c r="B109" t="s">
        <v>116</v>
      </c>
      <c r="C109" t="s">
        <v>307</v>
      </c>
      <c r="D109" t="s">
        <v>404</v>
      </c>
      <c r="I109">
        <v>5000</v>
      </c>
      <c r="K109" t="s">
        <v>501</v>
      </c>
      <c r="L109">
        <f>HYPERLINK("https://maps.cookcountyil.gov/cookviewer/?search=2028 N OAKLEY AVE", "2028 N OAKLEY AVE")</f>
        <v>0</v>
      </c>
      <c r="N109" t="s">
        <v>586</v>
      </c>
      <c r="P109" t="s">
        <v>678</v>
      </c>
      <c r="Q109" t="s">
        <v>862</v>
      </c>
      <c r="U109">
        <f>HYPERLINK("https://www.cookcountyassessoril.gov/pin/14311320460000", "14-31-132-046-0000")</f>
        <v>0</v>
      </c>
      <c r="V109" t="s">
        <v>944</v>
      </c>
    </row>
    <row r="110" spans="1:22">
      <c r="A110">
        <v>109</v>
      </c>
      <c r="B110" t="s">
        <v>117</v>
      </c>
      <c r="C110" t="s">
        <v>308</v>
      </c>
      <c r="D110" t="s">
        <v>406</v>
      </c>
      <c r="I110">
        <v>7200</v>
      </c>
      <c r="K110" t="s">
        <v>502</v>
      </c>
      <c r="L110">
        <f>HYPERLINK("https://maps.cookcountyil.gov/cookviewer/?search=6322 N ALBANY AVE", "6322 N ALBANY AVE")</f>
        <v>0</v>
      </c>
      <c r="N110" t="s">
        <v>586</v>
      </c>
      <c r="P110" t="s">
        <v>679</v>
      </c>
      <c r="Q110" t="s">
        <v>863</v>
      </c>
      <c r="U110">
        <f>HYPERLINK("https://www.cookcountyassessoril.gov/pin/13011010400000", "13-01-101-040-0000")</f>
        <v>0</v>
      </c>
      <c r="V110" t="s">
        <v>944</v>
      </c>
    </row>
    <row r="111" spans="1:22">
      <c r="A111">
        <v>110</v>
      </c>
      <c r="B111" t="s">
        <v>118</v>
      </c>
      <c r="C111" t="s">
        <v>309</v>
      </c>
      <c r="D111" t="s">
        <v>403</v>
      </c>
      <c r="I111">
        <v>5500</v>
      </c>
      <c r="K111" t="s">
        <v>503</v>
      </c>
      <c r="L111">
        <f>HYPERLINK("https://maps.cookcountyil.gov/cookviewer/?search=1119 W 112TH ST", "1119 W 112TH ST")</f>
        <v>0</v>
      </c>
      <c r="N111" t="s">
        <v>586</v>
      </c>
      <c r="P111" t="s">
        <v>680</v>
      </c>
      <c r="Q111" t="s">
        <v>864</v>
      </c>
      <c r="U111" t="s">
        <v>943</v>
      </c>
      <c r="V111" t="s">
        <v>945</v>
      </c>
    </row>
    <row r="112" spans="1:22">
      <c r="A112">
        <v>111</v>
      </c>
      <c r="B112" t="s">
        <v>119</v>
      </c>
      <c r="C112" t="s">
        <v>310</v>
      </c>
      <c r="D112" t="s">
        <v>404</v>
      </c>
      <c r="I112">
        <v>17500</v>
      </c>
      <c r="K112" t="s">
        <v>504</v>
      </c>
      <c r="L112">
        <f>HYPERLINK("https://maps.cookcountyil.gov/cookviewer/?search=6748 S MORGAN ST", "6748 S MORGAN ST")</f>
        <v>0</v>
      </c>
      <c r="N112" t="s">
        <v>586</v>
      </c>
      <c r="P112" t="s">
        <v>681</v>
      </c>
      <c r="Q112" t="s">
        <v>865</v>
      </c>
      <c r="U112">
        <f>HYPERLINK("https://www.cookcountyassessoril.gov/pin/20204030350000", "20-20-403-035-0000")</f>
        <v>0</v>
      </c>
      <c r="V112" t="s">
        <v>944</v>
      </c>
    </row>
    <row r="113" spans="1:22">
      <c r="A113">
        <v>112</v>
      </c>
      <c r="B113" t="s">
        <v>120</v>
      </c>
      <c r="C113" t="s">
        <v>311</v>
      </c>
      <c r="D113" t="s">
        <v>404</v>
      </c>
      <c r="I113">
        <v>12750</v>
      </c>
      <c r="K113" t="s">
        <v>505</v>
      </c>
      <c r="L113">
        <f>HYPERLINK("https://maps.cookcountyil.gov/cookviewer/?search=6718 N OCONTO AVE", "6718 N OCONTO AVE")</f>
        <v>0</v>
      </c>
      <c r="N113" t="s">
        <v>586</v>
      </c>
      <c r="P113" t="s">
        <v>682</v>
      </c>
      <c r="Q113" t="s">
        <v>866</v>
      </c>
      <c r="U113">
        <f>HYPERLINK("https://www.cookcountyassessoril.gov/pin/09364060290000", "09-36-406-029-0000")</f>
        <v>0</v>
      </c>
      <c r="V113" t="s">
        <v>945</v>
      </c>
    </row>
    <row r="114" spans="1:22">
      <c r="A114">
        <v>113</v>
      </c>
      <c r="B114" t="s">
        <v>121</v>
      </c>
      <c r="C114" t="s">
        <v>312</v>
      </c>
      <c r="D114" t="s">
        <v>404</v>
      </c>
      <c r="I114">
        <v>12359</v>
      </c>
      <c r="K114" t="s">
        <v>506</v>
      </c>
      <c r="L114">
        <f>HYPERLINK("https://maps.cookcountyil.gov/cookviewer/?search=7724 S LAFLIN ST", "7724 S LAFLIN ST")</f>
        <v>0</v>
      </c>
      <c r="N114" t="s">
        <v>586</v>
      </c>
      <c r="P114" t="s">
        <v>683</v>
      </c>
      <c r="Q114" t="s">
        <v>867</v>
      </c>
      <c r="U114">
        <f>HYPERLINK("https://www.cookcountyassessoril.gov/pin/20293110280000", "20-29-311-028-0000")</f>
        <v>0</v>
      </c>
      <c r="V114" t="s">
        <v>945</v>
      </c>
    </row>
    <row r="115" spans="1:22">
      <c r="A115">
        <v>114</v>
      </c>
      <c r="B115" t="s">
        <v>122</v>
      </c>
      <c r="C115" t="s">
        <v>313</v>
      </c>
      <c r="D115" t="s">
        <v>404</v>
      </c>
      <c r="I115">
        <v>8300</v>
      </c>
      <c r="K115" t="s">
        <v>507</v>
      </c>
      <c r="L115">
        <f>HYPERLINK("https://maps.cookcountyil.gov/cookviewer/?search=3810 W 83RD ST", "3810 W 83RD ST")</f>
        <v>0</v>
      </c>
      <c r="N115" t="s">
        <v>586</v>
      </c>
      <c r="P115" t="s">
        <v>684</v>
      </c>
      <c r="Q115" t="s">
        <v>868</v>
      </c>
      <c r="U115">
        <f>HYPERLINK("https://www.cookcountyassessoril.gov/pin/19351260680000", "19-35-126-068-0000")</f>
        <v>0</v>
      </c>
      <c r="V115" t="s">
        <v>944</v>
      </c>
    </row>
    <row r="116" spans="1:22">
      <c r="A116">
        <v>115</v>
      </c>
      <c r="B116" t="s">
        <v>123</v>
      </c>
      <c r="C116" t="s">
        <v>314</v>
      </c>
      <c r="D116" t="s">
        <v>404</v>
      </c>
      <c r="I116">
        <v>5000</v>
      </c>
      <c r="K116" t="s">
        <v>508</v>
      </c>
      <c r="L116">
        <f>HYPERLINK("https://maps.cookcountyil.gov/cookviewer/?search=3815 N OAK PARK AVE", "3815 N OAK PARK AVE")</f>
        <v>0</v>
      </c>
      <c r="N116" t="s">
        <v>586</v>
      </c>
      <c r="P116" t="s">
        <v>685</v>
      </c>
      <c r="Q116" t="s">
        <v>815</v>
      </c>
      <c r="U116">
        <f>HYPERLINK("https://www.cookcountyassessoril.gov/pin/13192070190000", "13-19-207-019-0000")</f>
        <v>0</v>
      </c>
      <c r="V116" t="s">
        <v>944</v>
      </c>
    </row>
    <row r="117" spans="1:22">
      <c r="A117">
        <v>116</v>
      </c>
      <c r="B117" t="s">
        <v>124</v>
      </c>
      <c r="C117" t="s">
        <v>315</v>
      </c>
      <c r="D117" t="s">
        <v>404</v>
      </c>
      <c r="I117">
        <v>5000</v>
      </c>
      <c r="K117" t="s">
        <v>509</v>
      </c>
      <c r="L117">
        <f>HYPERLINK("https://maps.cookcountyil.gov/cookviewer/?search=7616 S LUELLA AVE", "7616 S LUELLA AVE")</f>
        <v>0</v>
      </c>
      <c r="N117" t="s">
        <v>586</v>
      </c>
      <c r="P117" t="s">
        <v>686</v>
      </c>
      <c r="Q117" t="s">
        <v>869</v>
      </c>
      <c r="U117">
        <f>HYPERLINK("https://www.cookcountyassessoril.gov/pin/20254120240000", "20-25-412-024-0000")</f>
        <v>0</v>
      </c>
      <c r="V117" t="s">
        <v>944</v>
      </c>
    </row>
    <row r="118" spans="1:22">
      <c r="A118">
        <v>117</v>
      </c>
      <c r="B118" t="s">
        <v>125</v>
      </c>
      <c r="C118" t="s">
        <v>316</v>
      </c>
      <c r="D118" t="s">
        <v>404</v>
      </c>
      <c r="I118">
        <v>5700</v>
      </c>
      <c r="K118" t="s">
        <v>510</v>
      </c>
      <c r="L118">
        <f>HYPERLINK("https://maps.cookcountyil.gov/cookviewer/?search=3748 W 83RD ST", "3748 W 83RD ST")</f>
        <v>0</v>
      </c>
      <c r="N118" t="s">
        <v>586</v>
      </c>
      <c r="P118" t="s">
        <v>687</v>
      </c>
      <c r="Q118" t="s">
        <v>870</v>
      </c>
      <c r="U118">
        <f>HYPERLINK("https://www.cookcountyassessoril.gov/pin/19351270290000", "19-35-127-029-0000"), =HYPERLINK("https://www.cookcountyassessoril.gov/pin/19351270640000", "19-35-127-064-0000")</f>
        <v>0</v>
      </c>
      <c r="V118" t="s">
        <v>944</v>
      </c>
    </row>
    <row r="119" spans="1:22">
      <c r="A119">
        <v>118</v>
      </c>
      <c r="B119" t="s">
        <v>126</v>
      </c>
      <c r="C119" t="s">
        <v>317</v>
      </c>
      <c r="D119" t="s">
        <v>404</v>
      </c>
      <c r="I119">
        <v>30000</v>
      </c>
      <c r="K119" t="s">
        <v>511</v>
      </c>
      <c r="L119">
        <f>HYPERLINK("https://maps.cookcountyil.gov/cookviewer/?search=211 E CHICAGO AVE", "211 E CHICAGO AVE")</f>
        <v>0</v>
      </c>
      <c r="N119" t="s">
        <v>586</v>
      </c>
      <c r="P119" t="s">
        <v>688</v>
      </c>
      <c r="Q119" t="s">
        <v>871</v>
      </c>
      <c r="U119">
        <f>HYPERLINK("https://www.cookcountyassessoril.gov/pin/17102000130000", "17-10-200-013-0000"), =HYPERLINK("https://www.cookcountyassessoril.gov/pin/17102000120000", "17-10-200-012-0000")</f>
        <v>0</v>
      </c>
      <c r="V119" t="s">
        <v>944</v>
      </c>
    </row>
    <row r="120" spans="1:22">
      <c r="A120">
        <v>119</v>
      </c>
      <c r="B120" t="s">
        <v>127</v>
      </c>
      <c r="C120" t="s">
        <v>318</v>
      </c>
      <c r="D120" t="s">
        <v>404</v>
      </c>
      <c r="I120">
        <v>4715</v>
      </c>
      <c r="K120" t="s">
        <v>512</v>
      </c>
      <c r="L120">
        <f>HYPERLINK("https://maps.cookcountyil.gov/cookviewer/?search=1360 N ASHLAND AVE", "1360 N ASHLAND AVE")</f>
        <v>0</v>
      </c>
      <c r="N120" t="s">
        <v>586</v>
      </c>
      <c r="P120" t="s">
        <v>689</v>
      </c>
      <c r="Q120" t="s">
        <v>872</v>
      </c>
      <c r="U120">
        <f>HYPERLINK("https://www.cookcountyassessoril.gov/pin/17062320400000", "17-06-232-040-0000")</f>
        <v>0</v>
      </c>
      <c r="V120" t="s">
        <v>944</v>
      </c>
    </row>
    <row r="121" spans="1:22">
      <c r="A121">
        <v>120</v>
      </c>
      <c r="B121" t="s">
        <v>128</v>
      </c>
      <c r="C121" t="s">
        <v>319</v>
      </c>
      <c r="D121" t="s">
        <v>404</v>
      </c>
      <c r="I121">
        <v>6000</v>
      </c>
      <c r="K121" t="s">
        <v>513</v>
      </c>
      <c r="L121">
        <f>HYPERLINK("https://maps.cookcountyil.gov/cookviewer/?search=7427 S SOUTH CHICAGO AVE", "7427 S SOUTH CHICAGO AVE")</f>
        <v>0</v>
      </c>
      <c r="N121" t="s">
        <v>586</v>
      </c>
      <c r="P121" t="s">
        <v>690</v>
      </c>
      <c r="Q121" t="s">
        <v>873</v>
      </c>
      <c r="U121">
        <f>HYPERLINK("https://www.cookcountyassessoril.gov/pin/20261300060000", "20-26-130-006-0000")</f>
        <v>0</v>
      </c>
      <c r="V121" t="s">
        <v>945</v>
      </c>
    </row>
    <row r="122" spans="1:22">
      <c r="A122">
        <v>121</v>
      </c>
      <c r="B122" t="s">
        <v>129</v>
      </c>
      <c r="C122" t="s">
        <v>320</v>
      </c>
      <c r="D122" t="s">
        <v>405</v>
      </c>
      <c r="I122">
        <v>19801</v>
      </c>
      <c r="K122" t="s">
        <v>514</v>
      </c>
      <c r="L122">
        <f>HYPERLINK("https://maps.cookcountyil.gov/cookviewer/?search=4827 S SPRINGFIELD AVE", "4827 S SPRINGFIELD AVE")</f>
        <v>0</v>
      </c>
      <c r="N122" t="s">
        <v>586</v>
      </c>
      <c r="P122" t="s">
        <v>691</v>
      </c>
      <c r="Q122" t="s">
        <v>874</v>
      </c>
      <c r="U122">
        <f>HYPERLINK("https://www.cookcountyassessoril.gov/pin/19111090100000", "19-11-109-010-0000")</f>
        <v>0</v>
      </c>
      <c r="V122" t="s">
        <v>945</v>
      </c>
    </row>
    <row r="123" spans="1:22">
      <c r="A123">
        <v>122</v>
      </c>
      <c r="B123" t="s">
        <v>129</v>
      </c>
      <c r="C123" t="s">
        <v>321</v>
      </c>
      <c r="D123" t="s">
        <v>404</v>
      </c>
      <c r="I123">
        <v>5000</v>
      </c>
      <c r="K123" t="s">
        <v>514</v>
      </c>
      <c r="L123">
        <f>HYPERLINK("https://maps.cookcountyil.gov/cookviewer/?search=4827 S SPRINGFIELD AVE", "4827 S SPRINGFIELD AVE")</f>
        <v>0</v>
      </c>
      <c r="N123" t="s">
        <v>586</v>
      </c>
      <c r="P123" t="s">
        <v>691</v>
      </c>
      <c r="Q123" t="s">
        <v>786</v>
      </c>
      <c r="U123">
        <f>HYPERLINK("https://www.cookcountyassessoril.gov/pin/19111090100000", "19-11-109-010-0000")</f>
        <v>0</v>
      </c>
      <c r="V123" t="s">
        <v>944</v>
      </c>
    </row>
    <row r="124" spans="1:22">
      <c r="A124">
        <v>123</v>
      </c>
      <c r="B124" t="s">
        <v>130</v>
      </c>
      <c r="C124" t="s">
        <v>322</v>
      </c>
      <c r="D124" t="s">
        <v>404</v>
      </c>
      <c r="I124">
        <v>12000</v>
      </c>
      <c r="K124" t="s">
        <v>515</v>
      </c>
      <c r="L124">
        <f>HYPERLINK("https://maps.cookcountyil.gov/cookviewer/?search=3537 W FLOURNOY ST", "3537 W FLOURNOY ST")</f>
        <v>0</v>
      </c>
      <c r="N124" t="s">
        <v>586</v>
      </c>
      <c r="P124" t="s">
        <v>692</v>
      </c>
      <c r="Q124" t="s">
        <v>875</v>
      </c>
      <c r="U124">
        <f>HYPERLINK("https://www.cookcountyassessoril.gov/pin/16144040130000", "16-14-404-013-0000"), =HYPERLINK("https://www.cookcountyassessoril.gov/pin/16144040100000", "16-14-404-010-0000")</f>
        <v>0</v>
      </c>
      <c r="V124" t="s">
        <v>945</v>
      </c>
    </row>
    <row r="125" spans="1:22">
      <c r="A125">
        <v>124</v>
      </c>
      <c r="B125" t="s">
        <v>131</v>
      </c>
      <c r="C125" t="s">
        <v>323</v>
      </c>
      <c r="D125" t="s">
        <v>404</v>
      </c>
      <c r="I125">
        <v>10500</v>
      </c>
      <c r="K125" t="s">
        <v>516</v>
      </c>
      <c r="L125">
        <f>HYPERLINK("https://maps.cookcountyil.gov/cookviewer/?search=10000 W OHARE ST", "10000 W OHARE ST")</f>
        <v>0</v>
      </c>
      <c r="N125" t="s">
        <v>586</v>
      </c>
      <c r="P125" t="s">
        <v>693</v>
      </c>
      <c r="Q125" t="s">
        <v>876</v>
      </c>
      <c r="U125" t="s">
        <v>943</v>
      </c>
      <c r="V125" t="s">
        <v>944</v>
      </c>
    </row>
    <row r="126" spans="1:22">
      <c r="A126">
        <v>125</v>
      </c>
      <c r="B126" t="s">
        <v>132</v>
      </c>
      <c r="C126" t="s">
        <v>324</v>
      </c>
      <c r="D126" t="s">
        <v>407</v>
      </c>
      <c r="I126">
        <v>55000</v>
      </c>
      <c r="K126" t="s">
        <v>517</v>
      </c>
      <c r="L126">
        <f>HYPERLINK("https://maps.cookcountyil.gov/cookviewer/?search=5009 N MOODY AVE", "5009 N MOODY AVE")</f>
        <v>0</v>
      </c>
      <c r="N126" t="s">
        <v>586</v>
      </c>
      <c r="P126" t="s">
        <v>694</v>
      </c>
      <c r="Q126" t="s">
        <v>877</v>
      </c>
      <c r="U126" t="s">
        <v>943</v>
      </c>
      <c r="V126" t="s">
        <v>945</v>
      </c>
    </row>
    <row r="127" spans="1:22">
      <c r="A127">
        <v>126</v>
      </c>
      <c r="B127" t="s">
        <v>133</v>
      </c>
      <c r="C127" t="s">
        <v>325</v>
      </c>
      <c r="D127" t="s">
        <v>407</v>
      </c>
      <c r="I127">
        <v>10890</v>
      </c>
      <c r="K127" t="s">
        <v>518</v>
      </c>
      <c r="L127">
        <f>HYPERLINK("https://maps.cookcountyil.gov/cookviewer/?search=420 W 100TH PL", "420 W 100TH PL")</f>
        <v>0</v>
      </c>
      <c r="N127" t="s">
        <v>586</v>
      </c>
      <c r="P127" t="s">
        <v>695</v>
      </c>
      <c r="Q127" t="s">
        <v>878</v>
      </c>
      <c r="U127">
        <f>HYPERLINK("https://www.cookcountyassessoril.gov/pin/25093140200000", "25-09-314-020-0000")</f>
        <v>0</v>
      </c>
      <c r="V127" t="s">
        <v>945</v>
      </c>
    </row>
    <row r="128" spans="1:22">
      <c r="A128">
        <v>127</v>
      </c>
      <c r="B128" t="s">
        <v>134</v>
      </c>
      <c r="C128" t="s">
        <v>326</v>
      </c>
      <c r="D128" t="s">
        <v>406</v>
      </c>
      <c r="I128">
        <v>113900</v>
      </c>
      <c r="K128" t="s">
        <v>519</v>
      </c>
      <c r="L128">
        <f>HYPERLINK("https://maps.cookcountyil.gov/cookviewer/?search=2125 W BELMONT AVE", "2125 W BELMONT AVE")</f>
        <v>0</v>
      </c>
      <c r="N128" t="s">
        <v>586</v>
      </c>
      <c r="P128" t="s">
        <v>696</v>
      </c>
      <c r="Q128" t="s">
        <v>879</v>
      </c>
      <c r="U128" t="s">
        <v>943</v>
      </c>
      <c r="V128" t="s">
        <v>944</v>
      </c>
    </row>
    <row r="129" spans="1:22">
      <c r="A129">
        <v>128</v>
      </c>
      <c r="B129" t="s">
        <v>135</v>
      </c>
      <c r="C129" t="s">
        <v>327</v>
      </c>
      <c r="D129" t="s">
        <v>404</v>
      </c>
      <c r="I129">
        <v>20251</v>
      </c>
      <c r="K129" t="s">
        <v>520</v>
      </c>
      <c r="L129">
        <f>HYPERLINK("https://maps.cookcountyil.gov/cookviewer/?search=3311 N KOSTNER AVE", "3311 N KOSTNER AVE")</f>
        <v>0</v>
      </c>
      <c r="N129" t="s">
        <v>586</v>
      </c>
      <c r="P129" t="s">
        <v>697</v>
      </c>
      <c r="Q129" t="s">
        <v>880</v>
      </c>
      <c r="U129" t="s">
        <v>943</v>
      </c>
      <c r="V129" t="s">
        <v>945</v>
      </c>
    </row>
    <row r="130" spans="1:22">
      <c r="A130">
        <v>129</v>
      </c>
      <c r="B130" t="s">
        <v>136</v>
      </c>
      <c r="C130" t="s">
        <v>328</v>
      </c>
      <c r="D130" t="s">
        <v>405</v>
      </c>
      <c r="I130">
        <v>144000</v>
      </c>
      <c r="K130" t="s">
        <v>521</v>
      </c>
      <c r="L130">
        <f>HYPERLINK("https://maps.cookcountyil.gov/cookviewer/?search=600 E GRAND AVE", "600 E GRAND AVE")</f>
        <v>0</v>
      </c>
      <c r="N130" t="s">
        <v>586</v>
      </c>
      <c r="P130" t="s">
        <v>698</v>
      </c>
      <c r="Q130" t="s">
        <v>881</v>
      </c>
      <c r="U130">
        <f>HYPERLINK("https://www.cookcountyassessoril.gov/pin/17102170028046", "17-10-217-002-8046"), =HYPERLINK("https://www.cookcountyassessoril.gov/pin/17102170028020", "17-10-217-002-8020"), =HYPERLINK("https://www.cookcountyassessoril.gov/pin/17102170028051", "17-10-217-002-8051"), =HYPERLINK("https://www.cookcountyassessoril.gov/pin/17102170028002", "17-10-217-002-8002"), =HYPERLINK("https://www.cookcountyassessoril.gov/pin/17102170028071", "17-10-217-002-8071"), =HYPERLINK("https://www.cookcountyassessoril.gov/pin/17102170028001", "17-10-217-002-8001"), =HYPERLINK("https://www.cookcountyassessoril.gov/pin/17102170028062", "17-10-217-002-8062"), =HYPERLINK("https://www.cookcountyassessoril.gov/pin/17102170028061", "17-10-217-002-8061"), =HYPERLINK("https://www.cookcountyassessoril.gov/pin/17102170028021", "17-10-217-002-8021"), =HYPERLINK("https://www.cookcountyassessoril.gov/pin/17102170028077", "17-10-217-002-8077"), =HYPERLINK("https://www.cookcountyassessoril.gov/pin/17102170028065", "17-10-217-002-8065"), =HYPERLINK("https://www.cookcountyassessoril.gov/pin/17102170028055", "17-10-217-002-8055"), =HYPERLINK("https://www.cookcountyassessoril.gov/pin/17102170028036", "17-10-217-002-8036"), =HYPERLINK("https://www.cookcountyassessoril.gov/pin/17102170028063", "17-10-217-002-8063"), =HYPERLINK("https://www.cookcountyassessoril.gov/pin/17102170028075", "17-10-217-002-8075"), =HYPERLINK("https://www.cookcountyassessoril.gov/pin/17102170028076", "17-10-217-002-8076"), =HYPERLINK("https://www.cookcountyassessoril.gov/pin/17102170028070", "17-10-217-002-8070"), =HYPERLINK("https://www.cookcountyassessoril.gov/pin/17102170028034", "17-10-217-002-8034")</f>
        <v>0</v>
      </c>
      <c r="V130" t="s">
        <v>944</v>
      </c>
    </row>
    <row r="131" spans="1:22">
      <c r="A131">
        <v>130</v>
      </c>
      <c r="B131" t="s">
        <v>137</v>
      </c>
      <c r="C131" t="s">
        <v>329</v>
      </c>
      <c r="D131" t="s">
        <v>404</v>
      </c>
      <c r="I131">
        <v>1200</v>
      </c>
      <c r="K131" t="s">
        <v>522</v>
      </c>
      <c r="L131">
        <f>HYPERLINK("https://maps.cookcountyil.gov/cookviewer/?search=4419 S VINCENNES AVE", "4419 S VINCENNES AVE")</f>
        <v>0</v>
      </c>
      <c r="N131" t="s">
        <v>586</v>
      </c>
      <c r="P131" t="s">
        <v>699</v>
      </c>
      <c r="Q131" t="s">
        <v>882</v>
      </c>
      <c r="U131">
        <f>HYPERLINK("https://www.cookcountyassessoril.gov/pin/20034080040000", "20-03-408-004-0000")</f>
        <v>0</v>
      </c>
      <c r="V131" t="s">
        <v>945</v>
      </c>
    </row>
    <row r="132" spans="1:22">
      <c r="A132">
        <v>131</v>
      </c>
      <c r="B132" t="s">
        <v>138</v>
      </c>
      <c r="C132" t="s">
        <v>330</v>
      </c>
      <c r="D132" t="s">
        <v>405</v>
      </c>
      <c r="I132">
        <v>91000</v>
      </c>
      <c r="K132" t="s">
        <v>523</v>
      </c>
      <c r="L132">
        <f>HYPERLINK("https://maps.cookcountyil.gov/cookviewer/?search=325 N LA SALLE DR", "325 N LA SALLE DR")</f>
        <v>0</v>
      </c>
      <c r="N132" t="s">
        <v>586</v>
      </c>
      <c r="P132" t="s">
        <v>607</v>
      </c>
      <c r="Q132" t="s">
        <v>883</v>
      </c>
      <c r="U132" t="s">
        <v>943</v>
      </c>
      <c r="V132" t="s">
        <v>944</v>
      </c>
    </row>
    <row r="133" spans="1:22">
      <c r="A133">
        <v>132</v>
      </c>
      <c r="B133" t="s">
        <v>139</v>
      </c>
      <c r="C133" t="s">
        <v>331</v>
      </c>
      <c r="D133" t="s">
        <v>406</v>
      </c>
      <c r="I133">
        <v>9632</v>
      </c>
      <c r="K133" t="s">
        <v>524</v>
      </c>
      <c r="L133">
        <f>HYPERLINK("https://maps.cookcountyil.gov/cookviewer/?search=2418 W BERENICE AVE", "2418 W BERENICE AVE")</f>
        <v>0</v>
      </c>
      <c r="N133" t="s">
        <v>586</v>
      </c>
      <c r="P133" t="s">
        <v>700</v>
      </c>
      <c r="Q133" t="s">
        <v>884</v>
      </c>
      <c r="U133">
        <f>HYPERLINK("https://www.cookcountyassessoril.gov/pin/13242040270000", "13-24-204-027-0000")</f>
        <v>0</v>
      </c>
      <c r="V133" t="s">
        <v>945</v>
      </c>
    </row>
    <row r="134" spans="1:22">
      <c r="A134">
        <v>133</v>
      </c>
      <c r="B134" t="s">
        <v>140</v>
      </c>
      <c r="C134" t="s">
        <v>332</v>
      </c>
      <c r="D134" t="s">
        <v>405</v>
      </c>
      <c r="I134">
        <v>24000</v>
      </c>
      <c r="K134" t="s">
        <v>525</v>
      </c>
      <c r="L134">
        <f>HYPERLINK("https://maps.cookcountyil.gov/cookviewer/?search=9928 S VINCENNES AVE", "9928 S VINCENNES AVE")</f>
        <v>0</v>
      </c>
      <c r="N134" t="s">
        <v>586</v>
      </c>
      <c r="P134" t="s">
        <v>701</v>
      </c>
      <c r="Q134" t="s">
        <v>885</v>
      </c>
      <c r="U134">
        <f>HYPERLINK("https://www.cookcountyassessoril.gov/pin/25083040420000", "25-08-304-042-0000")</f>
        <v>0</v>
      </c>
      <c r="V134" t="s">
        <v>944</v>
      </c>
    </row>
    <row r="135" spans="1:22">
      <c r="A135">
        <v>134</v>
      </c>
      <c r="B135" t="s">
        <v>141</v>
      </c>
      <c r="C135" t="s">
        <v>333</v>
      </c>
      <c r="D135" t="s">
        <v>406</v>
      </c>
      <c r="I135">
        <v>25000</v>
      </c>
      <c r="K135" t="s">
        <v>526</v>
      </c>
      <c r="L135">
        <f>HYPERLINK("https://maps.cookcountyil.gov/cookviewer/?search=2130 W CHARLESTON ST", "2130 W CHARLESTON ST")</f>
        <v>0</v>
      </c>
      <c r="N135" t="s">
        <v>586</v>
      </c>
      <c r="P135" t="s">
        <v>702</v>
      </c>
      <c r="Q135" t="s">
        <v>886</v>
      </c>
      <c r="U135">
        <f>HYPERLINK("https://www.cookcountyassessoril.gov/pin/14311260280000", "14-31-126-028-0000")</f>
        <v>0</v>
      </c>
      <c r="V135" t="s">
        <v>944</v>
      </c>
    </row>
    <row r="136" spans="1:22">
      <c r="A136">
        <v>135</v>
      </c>
      <c r="B136" t="s">
        <v>142</v>
      </c>
      <c r="C136" t="s">
        <v>334</v>
      </c>
      <c r="D136" t="s">
        <v>406</v>
      </c>
      <c r="I136">
        <v>42080</v>
      </c>
      <c r="K136" t="s">
        <v>527</v>
      </c>
      <c r="L136">
        <f>HYPERLINK("https://maps.cookcountyil.gov/cookviewer/?search=533 W BARRY AVE", "533 W BARRY AVE")</f>
        <v>0</v>
      </c>
      <c r="N136" t="s">
        <v>586</v>
      </c>
      <c r="P136" t="s">
        <v>703</v>
      </c>
      <c r="Q136" t="s">
        <v>887</v>
      </c>
      <c r="U136">
        <f>HYPERLINK("https://www.cookcountyassessoril.gov/pin/14281080280000", "14-28-108-028-0000")</f>
        <v>0</v>
      </c>
      <c r="V136" t="s">
        <v>944</v>
      </c>
    </row>
    <row r="137" spans="1:22">
      <c r="A137">
        <v>136</v>
      </c>
      <c r="B137" t="s">
        <v>143</v>
      </c>
      <c r="C137" t="s">
        <v>335</v>
      </c>
      <c r="D137" t="s">
        <v>407</v>
      </c>
      <c r="I137">
        <v>2500</v>
      </c>
      <c r="K137" t="s">
        <v>528</v>
      </c>
      <c r="L137">
        <f>HYPERLINK("https://maps.cookcountyil.gov/cookviewer/?search=5732 S NORMANDY AVE", "5732 S NORMANDY AVE")</f>
        <v>0</v>
      </c>
      <c r="N137" t="s">
        <v>586</v>
      </c>
      <c r="P137" t="s">
        <v>704</v>
      </c>
      <c r="Q137" t="s">
        <v>888</v>
      </c>
      <c r="U137">
        <f>HYPERLINK("https://www.cookcountyassessoril.gov/pin/19182170320000", "19-18-217-032-0000")</f>
        <v>0</v>
      </c>
      <c r="V137" t="s">
        <v>944</v>
      </c>
    </row>
    <row r="138" spans="1:22">
      <c r="A138">
        <v>137</v>
      </c>
      <c r="B138" t="s">
        <v>144</v>
      </c>
      <c r="C138" t="s">
        <v>336</v>
      </c>
      <c r="D138" t="s">
        <v>405</v>
      </c>
      <c r="I138">
        <v>5000</v>
      </c>
      <c r="K138" t="s">
        <v>529</v>
      </c>
      <c r="L138">
        <f>HYPERLINK("https://maps.cookcountyil.gov/cookviewer/?search=4312 W CHICAGO AVE", "4312 W CHICAGO AVE")</f>
        <v>0</v>
      </c>
      <c r="N138" t="s">
        <v>586</v>
      </c>
      <c r="P138" t="s">
        <v>705</v>
      </c>
      <c r="Q138" t="s">
        <v>889</v>
      </c>
      <c r="U138" t="s">
        <v>943</v>
      </c>
      <c r="V138" t="s">
        <v>944</v>
      </c>
    </row>
    <row r="139" spans="1:22">
      <c r="A139">
        <v>138</v>
      </c>
      <c r="B139" t="s">
        <v>145</v>
      </c>
      <c r="C139" t="s">
        <v>337</v>
      </c>
      <c r="D139" t="s">
        <v>407</v>
      </c>
      <c r="I139">
        <v>457320</v>
      </c>
      <c r="K139" t="s">
        <v>530</v>
      </c>
      <c r="L139">
        <f>HYPERLINK("https://maps.cookcountyil.gov/cookviewer/?search=836 W NELSON ST", "836 W NELSON ST")</f>
        <v>0</v>
      </c>
      <c r="N139" t="s">
        <v>586</v>
      </c>
      <c r="P139" t="s">
        <v>706</v>
      </c>
      <c r="Q139" t="s">
        <v>890</v>
      </c>
      <c r="U139" t="s">
        <v>943</v>
      </c>
      <c r="V139" t="s">
        <v>945</v>
      </c>
    </row>
    <row r="140" spans="1:22">
      <c r="A140">
        <v>139</v>
      </c>
      <c r="B140" t="s">
        <v>146</v>
      </c>
      <c r="C140" t="s">
        <v>338</v>
      </c>
      <c r="D140" t="s">
        <v>405</v>
      </c>
      <c r="I140">
        <v>7700</v>
      </c>
      <c r="K140" t="s">
        <v>531</v>
      </c>
      <c r="L140">
        <f>HYPERLINK("https://maps.cookcountyil.gov/cookviewer/?search=730 S CLARK ST", "730 S CLARK ST")</f>
        <v>0</v>
      </c>
      <c r="N140" t="s">
        <v>586</v>
      </c>
      <c r="P140" t="s">
        <v>707</v>
      </c>
      <c r="Q140" t="s">
        <v>891</v>
      </c>
      <c r="U140">
        <f>HYPERLINK("https://www.cookcountyassessoril.gov/pin/17164040230000", "17-16-404-023-0000"), =HYPERLINK("https://www.cookcountyassessoril.gov/pin/17164040240000", "17-16-404-024-0000"), =HYPERLINK("https://www.cookcountyassessoril.gov/pin/17164040330000", "17-16-404-033-0000"), =HYPERLINK("https://www.cookcountyassessoril.gov/pin/17164040250000", "17-16-404-025-0000")</f>
        <v>0</v>
      </c>
      <c r="V140" t="s">
        <v>944</v>
      </c>
    </row>
    <row r="141" spans="1:22">
      <c r="A141">
        <v>140</v>
      </c>
      <c r="B141" t="s">
        <v>147</v>
      </c>
      <c r="C141" t="s">
        <v>339</v>
      </c>
      <c r="D141" t="s">
        <v>404</v>
      </c>
      <c r="I141">
        <v>20000</v>
      </c>
      <c r="K141" t="s">
        <v>532</v>
      </c>
      <c r="L141">
        <f>HYPERLINK("https://maps.cookcountyil.gov/cookviewer/?search=4800 S DREXEL BLVD", "4800 S DREXEL BLVD")</f>
        <v>0</v>
      </c>
      <c r="N141" t="s">
        <v>586</v>
      </c>
      <c r="P141" t="s">
        <v>708</v>
      </c>
      <c r="Q141" t="s">
        <v>892</v>
      </c>
      <c r="U141">
        <f>HYPERLINK("https://www.cookcountyassessoril.gov/pin/20111050290000", "20-11-105-029-0000")</f>
        <v>0</v>
      </c>
      <c r="V141" t="s">
        <v>945</v>
      </c>
    </row>
    <row r="142" spans="1:22">
      <c r="A142">
        <v>141</v>
      </c>
      <c r="B142" t="s">
        <v>138</v>
      </c>
      <c r="C142" t="s">
        <v>340</v>
      </c>
      <c r="D142" t="s">
        <v>405</v>
      </c>
      <c r="I142">
        <v>100000</v>
      </c>
      <c r="K142" t="s">
        <v>523</v>
      </c>
      <c r="L142">
        <f>HYPERLINK("https://maps.cookcountyil.gov/cookviewer/?search=325 N LA SALLE DR", "325 N LA SALLE DR")</f>
        <v>0</v>
      </c>
      <c r="N142" t="s">
        <v>586</v>
      </c>
      <c r="P142" t="s">
        <v>709</v>
      </c>
      <c r="Q142" t="s">
        <v>893</v>
      </c>
      <c r="U142" t="s">
        <v>943</v>
      </c>
      <c r="V142" t="s">
        <v>944</v>
      </c>
    </row>
    <row r="143" spans="1:22">
      <c r="A143">
        <v>142</v>
      </c>
      <c r="B143" t="s">
        <v>148</v>
      </c>
      <c r="C143" t="s">
        <v>341</v>
      </c>
      <c r="D143" t="s">
        <v>404</v>
      </c>
      <c r="I143">
        <v>20000</v>
      </c>
      <c r="K143" t="s">
        <v>533</v>
      </c>
      <c r="L143">
        <f>HYPERLINK("https://maps.cookcountyil.gov/cookviewer/?search=829 E 48TH ST", "829 E 48TH ST")</f>
        <v>0</v>
      </c>
      <c r="N143" t="s">
        <v>586</v>
      </c>
      <c r="P143" t="s">
        <v>708</v>
      </c>
      <c r="Q143" t="s">
        <v>892</v>
      </c>
      <c r="U143" t="s">
        <v>943</v>
      </c>
      <c r="V143" t="s">
        <v>945</v>
      </c>
    </row>
    <row r="144" spans="1:22">
      <c r="A144">
        <v>143</v>
      </c>
      <c r="B144" t="s">
        <v>149</v>
      </c>
      <c r="C144" t="s">
        <v>342</v>
      </c>
      <c r="D144" t="s">
        <v>404</v>
      </c>
      <c r="I144">
        <v>17760</v>
      </c>
      <c r="K144" t="s">
        <v>534</v>
      </c>
      <c r="L144">
        <f>HYPERLINK("https://maps.cookcountyil.gov/cookviewer/?search=3116 S LOWE AVE", "3116 S LOWE AVE")</f>
        <v>0</v>
      </c>
      <c r="N144" t="s">
        <v>586</v>
      </c>
      <c r="P144" t="s">
        <v>710</v>
      </c>
      <c r="Q144" t="s">
        <v>894</v>
      </c>
      <c r="U144">
        <f>HYPERLINK("https://www.cookcountyassessoril.gov/pin/17331020260000", "17-33-102-026-0000")</f>
        <v>0</v>
      </c>
      <c r="V144" t="s">
        <v>944</v>
      </c>
    </row>
    <row r="145" spans="1:22">
      <c r="A145">
        <v>144</v>
      </c>
      <c r="B145" t="s">
        <v>150</v>
      </c>
      <c r="C145" t="s">
        <v>343</v>
      </c>
      <c r="D145" t="s">
        <v>404</v>
      </c>
      <c r="I145">
        <v>500</v>
      </c>
      <c r="K145" t="s">
        <v>535</v>
      </c>
      <c r="L145">
        <f>HYPERLINK("https://maps.cookcountyil.gov/cookviewer/?search=7330 S MERRILL AVE", "7330 S MERRILL AVE")</f>
        <v>0</v>
      </c>
      <c r="N145" t="s">
        <v>586</v>
      </c>
      <c r="P145" t="s">
        <v>711</v>
      </c>
      <c r="Q145" t="s">
        <v>895</v>
      </c>
      <c r="U145">
        <f>HYPERLINK("https://www.cookcountyassessoril.gov/pin/20252150210000", "20-25-215-021-0000")</f>
        <v>0</v>
      </c>
      <c r="V145" t="s">
        <v>945</v>
      </c>
    </row>
    <row r="146" spans="1:22">
      <c r="A146">
        <v>145</v>
      </c>
      <c r="B146" t="s">
        <v>151</v>
      </c>
      <c r="C146" t="s">
        <v>344</v>
      </c>
      <c r="D146" t="s">
        <v>407</v>
      </c>
      <c r="I146">
        <v>2600</v>
      </c>
      <c r="K146" t="s">
        <v>536</v>
      </c>
      <c r="L146">
        <f>HYPERLINK("https://maps.cookcountyil.gov/cookviewer/?search=6446 S MARSHFIELD AVE", "6446 S MARSHFIELD AVE")</f>
        <v>0</v>
      </c>
      <c r="N146" t="s">
        <v>586</v>
      </c>
      <c r="P146" t="s">
        <v>712</v>
      </c>
      <c r="Q146" t="s">
        <v>896</v>
      </c>
      <c r="U146">
        <f>HYPERLINK("https://www.cookcountyassessoril.gov/pin/20192140400000", "20-19-214-040-0000")</f>
        <v>0</v>
      </c>
      <c r="V146" t="s">
        <v>944</v>
      </c>
    </row>
    <row r="147" spans="1:22">
      <c r="A147">
        <v>146</v>
      </c>
      <c r="B147" t="s">
        <v>152</v>
      </c>
      <c r="C147" t="s">
        <v>345</v>
      </c>
      <c r="D147" t="s">
        <v>404</v>
      </c>
      <c r="I147">
        <v>17900</v>
      </c>
      <c r="K147" t="s">
        <v>537</v>
      </c>
      <c r="L147">
        <f>HYPERLINK("https://maps.cookcountyil.gov/cookviewer/?search=320 S CANAL ST", "320 S CANAL ST")</f>
        <v>0</v>
      </c>
      <c r="N147" t="s">
        <v>586</v>
      </c>
      <c r="P147" t="s">
        <v>713</v>
      </c>
      <c r="Q147" t="s">
        <v>897</v>
      </c>
      <c r="U147" t="s">
        <v>943</v>
      </c>
      <c r="V147" t="s">
        <v>944</v>
      </c>
    </row>
    <row r="148" spans="1:22">
      <c r="A148">
        <v>147</v>
      </c>
      <c r="B148" t="s">
        <v>153</v>
      </c>
      <c r="C148" t="s">
        <v>346</v>
      </c>
      <c r="D148" t="s">
        <v>406</v>
      </c>
      <c r="I148">
        <v>7392</v>
      </c>
      <c r="K148" t="s">
        <v>538</v>
      </c>
      <c r="L148">
        <f>HYPERLINK("https://maps.cookcountyil.gov/cookviewer/?search=4721 W MCLEAN AVE", "4721 W MCLEAN AVE")</f>
        <v>0</v>
      </c>
      <c r="N148" t="s">
        <v>586</v>
      </c>
      <c r="P148" t="s">
        <v>714</v>
      </c>
      <c r="Q148" t="s">
        <v>898</v>
      </c>
      <c r="U148" t="s">
        <v>943</v>
      </c>
      <c r="V148" t="s">
        <v>945</v>
      </c>
    </row>
    <row r="149" spans="1:22">
      <c r="A149">
        <v>148</v>
      </c>
      <c r="B149" t="s">
        <v>154</v>
      </c>
      <c r="C149" t="s">
        <v>347</v>
      </c>
      <c r="D149" t="s">
        <v>405</v>
      </c>
      <c r="I149">
        <v>3500</v>
      </c>
      <c r="K149" t="s">
        <v>539</v>
      </c>
      <c r="L149">
        <f>HYPERLINK("https://maps.cookcountyil.gov/cookviewer/?search=5343 W HENDERSON ST", "5343 W HENDERSON ST")</f>
        <v>0</v>
      </c>
      <c r="N149" t="s">
        <v>586</v>
      </c>
      <c r="P149" t="s">
        <v>715</v>
      </c>
      <c r="Q149" t="s">
        <v>899</v>
      </c>
      <c r="U149" t="s">
        <v>943</v>
      </c>
      <c r="V149" t="s">
        <v>944</v>
      </c>
    </row>
    <row r="150" spans="1:22">
      <c r="A150">
        <v>149</v>
      </c>
      <c r="B150" t="s">
        <v>155</v>
      </c>
      <c r="C150" t="s">
        <v>348</v>
      </c>
      <c r="D150" t="s">
        <v>404</v>
      </c>
      <c r="I150">
        <v>20000</v>
      </c>
      <c r="K150" t="s">
        <v>540</v>
      </c>
      <c r="L150">
        <f>HYPERLINK("https://maps.cookcountyil.gov/cookviewer/?search=11148 S VERNON AVE", "11148 S VERNON AVE")</f>
        <v>0</v>
      </c>
      <c r="N150" t="s">
        <v>586</v>
      </c>
      <c r="P150" t="s">
        <v>716</v>
      </c>
      <c r="Q150" t="s">
        <v>900</v>
      </c>
      <c r="U150" t="s">
        <v>943</v>
      </c>
      <c r="V150" t="s">
        <v>945</v>
      </c>
    </row>
    <row r="151" spans="1:22">
      <c r="A151">
        <v>150</v>
      </c>
      <c r="B151" t="s">
        <v>156</v>
      </c>
      <c r="C151" t="s">
        <v>349</v>
      </c>
      <c r="D151" t="s">
        <v>404</v>
      </c>
      <c r="I151">
        <v>10000</v>
      </c>
      <c r="K151" t="s">
        <v>541</v>
      </c>
      <c r="L151">
        <f>HYPERLINK("https://maps.cookcountyil.gov/cookviewer/?search=1000 W 15TH ST", "1000 W 15TH ST")</f>
        <v>0</v>
      </c>
      <c r="N151" t="s">
        <v>586</v>
      </c>
      <c r="P151" t="s">
        <v>717</v>
      </c>
      <c r="Q151" t="s">
        <v>901</v>
      </c>
      <c r="U151" t="s">
        <v>943</v>
      </c>
      <c r="V151" t="s">
        <v>944</v>
      </c>
    </row>
    <row r="152" spans="1:22">
      <c r="A152">
        <v>151</v>
      </c>
      <c r="B152" t="s">
        <v>157</v>
      </c>
      <c r="C152" t="s">
        <v>350</v>
      </c>
      <c r="D152" t="s">
        <v>405</v>
      </c>
      <c r="I152">
        <v>21200</v>
      </c>
      <c r="K152" t="s">
        <v>542</v>
      </c>
      <c r="L152">
        <f>HYPERLINK("https://maps.cookcountyil.gov/cookviewer/?search=6859 W 63RD ST", "6859 W 63RD ST")</f>
        <v>0</v>
      </c>
      <c r="N152" t="s">
        <v>586</v>
      </c>
      <c r="P152" t="s">
        <v>718</v>
      </c>
      <c r="Q152" t="s">
        <v>902</v>
      </c>
      <c r="U152">
        <f>HYPERLINK("https://www.cookcountyassessoril.gov/pin/19191030010000", "19-19-103-001-0000")</f>
        <v>0</v>
      </c>
      <c r="V152" t="s">
        <v>945</v>
      </c>
    </row>
    <row r="153" spans="1:22">
      <c r="A153">
        <v>152</v>
      </c>
      <c r="B153" t="s">
        <v>157</v>
      </c>
      <c r="C153" t="s">
        <v>351</v>
      </c>
      <c r="D153" t="s">
        <v>405</v>
      </c>
      <c r="I153">
        <v>2500</v>
      </c>
      <c r="K153" t="s">
        <v>542</v>
      </c>
      <c r="L153">
        <f>HYPERLINK("https://maps.cookcountyil.gov/cookviewer/?search=6859 W 63RD ST", "6859 W 63RD ST")</f>
        <v>0</v>
      </c>
      <c r="N153" t="s">
        <v>586</v>
      </c>
      <c r="P153" t="s">
        <v>718</v>
      </c>
      <c r="Q153" t="s">
        <v>903</v>
      </c>
      <c r="U153">
        <f>HYPERLINK("https://www.cookcountyassessoril.gov/pin/19191030010000", "19-19-103-001-0000")</f>
        <v>0</v>
      </c>
      <c r="V153" t="s">
        <v>944</v>
      </c>
    </row>
    <row r="154" spans="1:22">
      <c r="A154">
        <v>153</v>
      </c>
      <c r="B154" t="s">
        <v>158</v>
      </c>
      <c r="C154" t="s">
        <v>352</v>
      </c>
      <c r="D154" t="s">
        <v>404</v>
      </c>
      <c r="I154">
        <v>1000</v>
      </c>
      <c r="K154" t="s">
        <v>543</v>
      </c>
      <c r="L154">
        <f>HYPERLINK("https://maps.cookcountyil.gov/cookviewer/?search=5446 W RICE ST", "5446 W RICE ST")</f>
        <v>0</v>
      </c>
      <c r="N154" t="s">
        <v>586</v>
      </c>
      <c r="P154" t="s">
        <v>719</v>
      </c>
      <c r="Q154" t="s">
        <v>904</v>
      </c>
      <c r="U154" t="s">
        <v>943</v>
      </c>
      <c r="V154" t="s">
        <v>944</v>
      </c>
    </row>
    <row r="155" spans="1:22">
      <c r="A155">
        <v>154</v>
      </c>
      <c r="B155" t="s">
        <v>159</v>
      </c>
      <c r="C155" t="s">
        <v>353</v>
      </c>
      <c r="D155" t="s">
        <v>406</v>
      </c>
      <c r="I155">
        <v>4000</v>
      </c>
      <c r="K155" t="s">
        <v>544</v>
      </c>
      <c r="L155">
        <f>HYPERLINK("https://maps.cookcountyil.gov/cookviewer/?search=1 E SCOTT ST", "1 E SCOTT ST")</f>
        <v>0</v>
      </c>
      <c r="N155" t="s">
        <v>586</v>
      </c>
      <c r="P155" t="s">
        <v>720</v>
      </c>
      <c r="Q155" t="s">
        <v>905</v>
      </c>
      <c r="U155" t="s">
        <v>943</v>
      </c>
      <c r="V155" t="s">
        <v>944</v>
      </c>
    </row>
    <row r="156" spans="1:22">
      <c r="A156">
        <v>155</v>
      </c>
      <c r="B156" t="s">
        <v>160</v>
      </c>
      <c r="C156" t="s">
        <v>354</v>
      </c>
      <c r="D156" t="s">
        <v>406</v>
      </c>
      <c r="I156">
        <v>22000</v>
      </c>
      <c r="K156" t="s">
        <v>545</v>
      </c>
      <c r="L156">
        <f>HYPERLINK("https://maps.cookcountyil.gov/cookviewer/?search=3821 W FLOURNOY ST", "3821 W FLOURNOY ST")</f>
        <v>0</v>
      </c>
      <c r="N156" t="s">
        <v>586</v>
      </c>
      <c r="P156" t="s">
        <v>721</v>
      </c>
      <c r="Q156" t="s">
        <v>906</v>
      </c>
      <c r="U156">
        <f>HYPERLINK("https://www.cookcountyassessoril.gov/pin/16143060170000", "16-14-306-017-0000")</f>
        <v>0</v>
      </c>
      <c r="V156" t="s">
        <v>944</v>
      </c>
    </row>
    <row r="157" spans="1:22">
      <c r="A157">
        <v>156</v>
      </c>
      <c r="B157" t="s">
        <v>161</v>
      </c>
      <c r="C157" t="s">
        <v>355</v>
      </c>
      <c r="D157" t="s">
        <v>405</v>
      </c>
      <c r="I157">
        <v>37300</v>
      </c>
      <c r="K157" t="s">
        <v>546</v>
      </c>
      <c r="L157">
        <f>HYPERLINK("https://maps.cookcountyil.gov/cookviewer/?search=543 E 107TH ST", "543 E 107TH ST")</f>
        <v>0</v>
      </c>
      <c r="N157" t="s">
        <v>586</v>
      </c>
      <c r="P157" t="s">
        <v>722</v>
      </c>
      <c r="Q157" t="s">
        <v>907</v>
      </c>
      <c r="U157">
        <f>HYPERLINK("https://www.cookcountyassessoril.gov/pin/25154030040000", "25-15-403-004-0000")</f>
        <v>0</v>
      </c>
      <c r="V157" t="s">
        <v>945</v>
      </c>
    </row>
    <row r="158" spans="1:22">
      <c r="A158">
        <v>157</v>
      </c>
      <c r="B158" t="s">
        <v>122</v>
      </c>
      <c r="C158" t="s">
        <v>356</v>
      </c>
      <c r="D158" t="s">
        <v>406</v>
      </c>
      <c r="I158">
        <v>19022</v>
      </c>
      <c r="K158" t="s">
        <v>507</v>
      </c>
      <c r="L158">
        <f>HYPERLINK("https://maps.cookcountyil.gov/cookviewer/?search=3810 W 83RD ST", "3810 W 83RD ST")</f>
        <v>0</v>
      </c>
      <c r="N158" t="s">
        <v>586</v>
      </c>
      <c r="P158" t="s">
        <v>684</v>
      </c>
      <c r="Q158" t="s">
        <v>908</v>
      </c>
      <c r="U158">
        <f>HYPERLINK("https://www.cookcountyassessoril.gov/pin/19351260680000", "19-35-126-068-0000")</f>
        <v>0</v>
      </c>
      <c r="V158" t="s">
        <v>945</v>
      </c>
    </row>
    <row r="159" spans="1:22">
      <c r="A159">
        <v>158</v>
      </c>
      <c r="B159" t="s">
        <v>162</v>
      </c>
      <c r="C159" t="s">
        <v>357</v>
      </c>
      <c r="D159" t="s">
        <v>406</v>
      </c>
      <c r="I159">
        <v>6575</v>
      </c>
      <c r="K159" t="s">
        <v>547</v>
      </c>
      <c r="L159">
        <f>HYPERLINK("https://maps.cookcountyil.gov/cookviewer/?search=13022 S AVENUE N", "13022 S AVENUE N")</f>
        <v>0</v>
      </c>
      <c r="N159" t="s">
        <v>586</v>
      </c>
      <c r="P159" t="s">
        <v>723</v>
      </c>
      <c r="Q159" t="s">
        <v>909</v>
      </c>
      <c r="U159">
        <f>HYPERLINK("https://www.cookcountyassessoril.gov/pin/26321000320000", "26-32-100-032-0000")</f>
        <v>0</v>
      </c>
      <c r="V159" t="s">
        <v>945</v>
      </c>
    </row>
    <row r="160" spans="1:22">
      <c r="A160">
        <v>159</v>
      </c>
      <c r="B160" t="s">
        <v>163</v>
      </c>
      <c r="C160" t="s">
        <v>358</v>
      </c>
      <c r="D160" t="s">
        <v>407</v>
      </c>
      <c r="I160">
        <v>300</v>
      </c>
      <c r="K160" t="s">
        <v>548</v>
      </c>
      <c r="L160">
        <f>HYPERLINK("https://maps.cookcountyil.gov/cookviewer/?search=5721 N OSCEOLA AVE", "5721 N OSCEOLA AVE")</f>
        <v>0</v>
      </c>
      <c r="N160" t="s">
        <v>586</v>
      </c>
      <c r="P160" t="s">
        <v>724</v>
      </c>
      <c r="Q160" t="s">
        <v>910</v>
      </c>
      <c r="U160" t="s">
        <v>943</v>
      </c>
      <c r="V160" t="s">
        <v>944</v>
      </c>
    </row>
    <row r="161" spans="1:22">
      <c r="A161">
        <v>160</v>
      </c>
      <c r="B161" t="s">
        <v>164</v>
      </c>
      <c r="C161" t="s">
        <v>359</v>
      </c>
      <c r="D161" t="s">
        <v>405</v>
      </c>
      <c r="I161">
        <v>3500</v>
      </c>
      <c r="K161" t="s">
        <v>549</v>
      </c>
      <c r="L161">
        <f>HYPERLINK("https://maps.cookcountyil.gov/cookviewer/?search=8318 S ASHLAND AVE", "8318 S ASHLAND AVE")</f>
        <v>0</v>
      </c>
      <c r="N161" t="s">
        <v>586</v>
      </c>
      <c r="P161" t="s">
        <v>725</v>
      </c>
      <c r="Q161" t="s">
        <v>911</v>
      </c>
      <c r="U161">
        <f>HYPERLINK("https://www.cookcountyassessoril.gov/pin/20314060260000", "20-31-406-026-0000")</f>
        <v>0</v>
      </c>
      <c r="V161" t="s">
        <v>944</v>
      </c>
    </row>
    <row r="162" spans="1:22">
      <c r="A162">
        <v>161</v>
      </c>
      <c r="B162" t="s">
        <v>165</v>
      </c>
      <c r="C162" t="s">
        <v>360</v>
      </c>
      <c r="D162" t="s">
        <v>405</v>
      </c>
      <c r="I162">
        <v>900</v>
      </c>
      <c r="K162" t="s">
        <v>550</v>
      </c>
      <c r="L162">
        <f>HYPERLINK("https://maps.cookcountyil.gov/cookviewer/?search=3726 N ASHLAND AVE", "3726 N ASHLAND AVE")</f>
        <v>0</v>
      </c>
      <c r="N162" t="s">
        <v>586</v>
      </c>
      <c r="P162" t="s">
        <v>726</v>
      </c>
      <c r="Q162" t="s">
        <v>912</v>
      </c>
      <c r="U162">
        <f>HYPERLINK("https://www.cookcountyassessoril.gov/pin/14192240320000", "14-19-224-032-0000")</f>
        <v>0</v>
      </c>
      <c r="V162" t="s">
        <v>944</v>
      </c>
    </row>
    <row r="163" spans="1:22">
      <c r="A163">
        <v>162</v>
      </c>
      <c r="B163" t="s">
        <v>166</v>
      </c>
      <c r="C163" t="s">
        <v>361</v>
      </c>
      <c r="D163" t="s">
        <v>405</v>
      </c>
      <c r="I163">
        <v>20000</v>
      </c>
      <c r="K163" t="s">
        <v>551</v>
      </c>
      <c r="L163">
        <f>HYPERLINK("https://maps.cookcountyil.gov/cookviewer/?search=5134 N CLARK ST", "5134 N CLARK ST")</f>
        <v>0</v>
      </c>
      <c r="N163" t="s">
        <v>586</v>
      </c>
      <c r="P163" t="s">
        <v>727</v>
      </c>
      <c r="Q163" t="s">
        <v>913</v>
      </c>
      <c r="U163" t="s">
        <v>943</v>
      </c>
      <c r="V163" t="s">
        <v>944</v>
      </c>
    </row>
    <row r="164" spans="1:22">
      <c r="A164">
        <v>163</v>
      </c>
      <c r="B164" t="s">
        <v>167</v>
      </c>
      <c r="C164" t="s">
        <v>362</v>
      </c>
      <c r="D164" t="s">
        <v>405</v>
      </c>
      <c r="I164">
        <v>10352</v>
      </c>
      <c r="K164" t="s">
        <v>552</v>
      </c>
      <c r="L164">
        <f>HYPERLINK("https://maps.cookcountyil.gov/cookviewer/?search=8016 S UNION AVE", "8016 S UNION AVE")</f>
        <v>0</v>
      </c>
      <c r="N164" t="s">
        <v>586</v>
      </c>
      <c r="P164" t="s">
        <v>728</v>
      </c>
      <c r="Q164" t="s">
        <v>914</v>
      </c>
      <c r="U164">
        <f>HYPERLINK("https://www.cookcountyassessoril.gov/pin/20331090460000", "20-33-109-046-0000")</f>
        <v>0</v>
      </c>
      <c r="V164" t="s">
        <v>945</v>
      </c>
    </row>
    <row r="165" spans="1:22">
      <c r="A165">
        <v>164</v>
      </c>
      <c r="B165" t="s">
        <v>168</v>
      </c>
      <c r="C165" t="s">
        <v>363</v>
      </c>
      <c r="D165" t="s">
        <v>405</v>
      </c>
      <c r="I165">
        <v>28468</v>
      </c>
      <c r="K165" t="s">
        <v>553</v>
      </c>
      <c r="L165">
        <f>HYPERLINK("https://maps.cookcountyil.gov/cookviewer/?search=5718 W 63RD ST", "5718 W 63RD ST")</f>
        <v>0</v>
      </c>
      <c r="N165" t="s">
        <v>586</v>
      </c>
      <c r="P165" t="s">
        <v>729</v>
      </c>
      <c r="Q165" t="s">
        <v>915</v>
      </c>
      <c r="U165">
        <f>HYPERLINK("https://www.cookcountyassessoril.gov/pin/19174290310000", "19-17-429-031-0000")</f>
        <v>0</v>
      </c>
      <c r="V165" t="s">
        <v>945</v>
      </c>
    </row>
    <row r="166" spans="1:22">
      <c r="A166">
        <v>165</v>
      </c>
      <c r="B166" t="s">
        <v>169</v>
      </c>
      <c r="C166" t="s">
        <v>364</v>
      </c>
      <c r="D166" t="s">
        <v>405</v>
      </c>
      <c r="I166">
        <v>5000</v>
      </c>
      <c r="K166" t="s">
        <v>554</v>
      </c>
      <c r="L166">
        <f>HYPERLINK("https://maps.cookcountyil.gov/cookviewer/?search=5044 N KOLMAR AVE", "5044 N KOLMAR AVE")</f>
        <v>0</v>
      </c>
      <c r="N166" t="s">
        <v>586</v>
      </c>
      <c r="P166" t="s">
        <v>730</v>
      </c>
      <c r="Q166" t="s">
        <v>916</v>
      </c>
      <c r="U166" t="s">
        <v>943</v>
      </c>
      <c r="V166" t="s">
        <v>944</v>
      </c>
    </row>
    <row r="167" spans="1:22">
      <c r="A167">
        <v>166</v>
      </c>
      <c r="B167" t="s">
        <v>170</v>
      </c>
      <c r="C167" t="s">
        <v>365</v>
      </c>
      <c r="D167" t="s">
        <v>407</v>
      </c>
      <c r="I167">
        <v>10000</v>
      </c>
      <c r="K167" t="s">
        <v>555</v>
      </c>
      <c r="L167">
        <f>HYPERLINK("https://maps.cookcountyil.gov/cookviewer/?search=6901 S OGLESBY AVE", "6901 S OGLESBY AVE")</f>
        <v>0</v>
      </c>
      <c r="N167" t="s">
        <v>586</v>
      </c>
      <c r="P167" t="s">
        <v>731</v>
      </c>
      <c r="Q167" t="s">
        <v>917</v>
      </c>
      <c r="U167" t="s">
        <v>943</v>
      </c>
      <c r="V167" t="s">
        <v>944</v>
      </c>
    </row>
    <row r="168" spans="1:22">
      <c r="A168">
        <v>167</v>
      </c>
      <c r="B168" t="s">
        <v>171</v>
      </c>
      <c r="C168" t="s">
        <v>366</v>
      </c>
      <c r="D168" t="s">
        <v>405</v>
      </c>
      <c r="I168">
        <v>29700</v>
      </c>
      <c r="K168" t="s">
        <v>556</v>
      </c>
      <c r="L168">
        <f>HYPERLINK("https://maps.cookcountyil.gov/cookviewer/?search=1620 W BLACKHAWK ST", "1620 W BLACKHAWK ST")</f>
        <v>0</v>
      </c>
      <c r="N168" t="s">
        <v>586</v>
      </c>
      <c r="P168" t="s">
        <v>732</v>
      </c>
      <c r="Q168" t="s">
        <v>918</v>
      </c>
      <c r="U168">
        <f>HYPERLINK("https://www.cookcountyassessoril.gov/pin/17062210330000", "17-06-221-033-0000")</f>
        <v>0</v>
      </c>
      <c r="V168" t="s">
        <v>944</v>
      </c>
    </row>
    <row r="169" spans="1:22">
      <c r="A169">
        <v>168</v>
      </c>
      <c r="B169" t="s">
        <v>172</v>
      </c>
      <c r="C169" t="s">
        <v>367</v>
      </c>
      <c r="D169" t="s">
        <v>405</v>
      </c>
      <c r="I169">
        <v>152440</v>
      </c>
      <c r="K169" t="s">
        <v>557</v>
      </c>
      <c r="L169">
        <f>HYPERLINK("https://maps.cookcountyil.gov/cookviewer/?search=1900 W GRAND AVE", "1900 W GRAND AVE")</f>
        <v>0</v>
      </c>
      <c r="N169" t="s">
        <v>586</v>
      </c>
      <c r="P169" t="s">
        <v>733</v>
      </c>
      <c r="Q169" t="s">
        <v>919</v>
      </c>
      <c r="U169">
        <f>HYPERLINK("https://www.cookcountyassessoril.gov/pin/17072180400000", "17-07-218-040-0000"), =HYPERLINK("https://www.cookcountyassessoril.gov/pin/17072180390000", "17-07-218-039-0000"), =HYPERLINK("https://www.cookcountyassessoril.gov/pin/17072180380000", "17-07-218-038-0000"), =HYPERLINK("https://www.cookcountyassessoril.gov/pin/17072180370000", "17-07-218-037-0000"), =HYPERLINK("https://www.cookcountyassessoril.gov/pin/17072180490000", "17-07-218-049-0000")</f>
        <v>0</v>
      </c>
      <c r="V169" t="s">
        <v>944</v>
      </c>
    </row>
    <row r="170" spans="1:22">
      <c r="A170">
        <v>169</v>
      </c>
      <c r="B170" t="s">
        <v>173</v>
      </c>
      <c r="C170" t="s">
        <v>368</v>
      </c>
      <c r="D170" t="s">
        <v>405</v>
      </c>
      <c r="I170">
        <v>1000</v>
      </c>
      <c r="K170" t="s">
        <v>558</v>
      </c>
      <c r="L170">
        <f>HYPERLINK("https://maps.cookcountyil.gov/cookviewer/?search=30 E ADAMS ST", "30 E ADAMS ST")</f>
        <v>0</v>
      </c>
      <c r="N170" t="s">
        <v>586</v>
      </c>
      <c r="P170" t="s">
        <v>734</v>
      </c>
      <c r="Q170" t="s">
        <v>920</v>
      </c>
      <c r="U170">
        <f>HYPERLINK("https://www.cookcountyassessoril.gov/pin/17151020090000", "17-15-102-009-0000")</f>
        <v>0</v>
      </c>
      <c r="V170" t="s">
        <v>944</v>
      </c>
    </row>
    <row r="171" spans="1:22">
      <c r="A171">
        <v>170</v>
      </c>
      <c r="B171" t="s">
        <v>174</v>
      </c>
      <c r="C171" t="s">
        <v>369</v>
      </c>
      <c r="D171" t="s">
        <v>406</v>
      </c>
      <c r="I171">
        <v>26033</v>
      </c>
      <c r="K171" t="s">
        <v>559</v>
      </c>
      <c r="L171">
        <f>HYPERLINK("https://maps.cookcountyil.gov/cookviewer/?search=11601 S JUSTINE ST", "11601 S JUSTINE ST")</f>
        <v>0</v>
      </c>
      <c r="N171" t="s">
        <v>586</v>
      </c>
      <c r="P171" t="s">
        <v>735</v>
      </c>
      <c r="Q171" t="s">
        <v>921</v>
      </c>
      <c r="U171">
        <f>HYPERLINK("https://www.cookcountyassessoril.gov/pin/25203080010000", "25-20-308-001-0000")</f>
        <v>0</v>
      </c>
      <c r="V171" t="s">
        <v>945</v>
      </c>
    </row>
    <row r="172" spans="1:22">
      <c r="A172">
        <v>171</v>
      </c>
      <c r="B172" t="s">
        <v>174</v>
      </c>
      <c r="C172" t="s">
        <v>370</v>
      </c>
      <c r="D172" t="s">
        <v>406</v>
      </c>
      <c r="I172">
        <v>11685</v>
      </c>
      <c r="K172" t="s">
        <v>559</v>
      </c>
      <c r="L172">
        <f>HYPERLINK("https://maps.cookcountyil.gov/cookviewer/?search=11601 S JUSTINE ST", "11601 S JUSTINE ST")</f>
        <v>0</v>
      </c>
      <c r="N172" t="s">
        <v>586</v>
      </c>
      <c r="P172" t="s">
        <v>735</v>
      </c>
      <c r="Q172" t="s">
        <v>922</v>
      </c>
      <c r="U172">
        <f>HYPERLINK("https://www.cookcountyassessoril.gov/pin/25203080010000", "25-20-308-001-0000")</f>
        <v>0</v>
      </c>
      <c r="V172" t="s">
        <v>945</v>
      </c>
    </row>
    <row r="173" spans="1:22">
      <c r="A173">
        <v>172</v>
      </c>
      <c r="B173" t="s">
        <v>174</v>
      </c>
      <c r="C173" t="s">
        <v>371</v>
      </c>
      <c r="D173" t="s">
        <v>405</v>
      </c>
      <c r="I173">
        <v>5200</v>
      </c>
      <c r="K173" t="s">
        <v>559</v>
      </c>
      <c r="L173">
        <f>HYPERLINK("https://maps.cookcountyil.gov/cookviewer/?search=11601 S JUSTINE ST", "11601 S JUSTINE ST")</f>
        <v>0</v>
      </c>
      <c r="N173" t="s">
        <v>586</v>
      </c>
      <c r="P173" t="s">
        <v>735</v>
      </c>
      <c r="Q173" t="s">
        <v>923</v>
      </c>
      <c r="U173">
        <f>HYPERLINK("https://www.cookcountyassessoril.gov/pin/25203080010000", "25-20-308-001-0000")</f>
        <v>0</v>
      </c>
      <c r="V173" t="s">
        <v>944</v>
      </c>
    </row>
    <row r="174" spans="1:22">
      <c r="A174">
        <v>173</v>
      </c>
      <c r="B174" t="s">
        <v>175</v>
      </c>
      <c r="C174" t="s">
        <v>372</v>
      </c>
      <c r="D174" t="s">
        <v>406</v>
      </c>
      <c r="I174">
        <v>3000</v>
      </c>
      <c r="K174" t="s">
        <v>560</v>
      </c>
      <c r="L174">
        <f>HYPERLINK("https://maps.cookcountyil.gov/cookviewer/?search=11424 S ELIZABETH ST", "11424 S ELIZABETH ST")</f>
        <v>0</v>
      </c>
      <c r="N174" t="s">
        <v>586</v>
      </c>
      <c r="P174" t="s">
        <v>736</v>
      </c>
      <c r="Q174" t="s">
        <v>924</v>
      </c>
      <c r="U174">
        <f>HYPERLINK("https://www.cookcountyassessoril.gov/pin/25201240490000", "25-20-124-049-0000")</f>
        <v>0</v>
      </c>
      <c r="V174" t="s">
        <v>944</v>
      </c>
    </row>
    <row r="175" spans="1:22">
      <c r="A175">
        <v>174</v>
      </c>
      <c r="B175" t="s">
        <v>176</v>
      </c>
      <c r="C175" t="s">
        <v>373</v>
      </c>
      <c r="D175" t="s">
        <v>405</v>
      </c>
      <c r="I175">
        <v>28901</v>
      </c>
      <c r="K175" t="s">
        <v>561</v>
      </c>
      <c r="L175">
        <f>HYPERLINK("https://maps.cookcountyil.gov/cookviewer/?search=3648 W 51ST ST", "3648 W 51ST ST")</f>
        <v>0</v>
      </c>
      <c r="N175" t="s">
        <v>586</v>
      </c>
      <c r="P175" t="s">
        <v>737</v>
      </c>
      <c r="Q175" t="s">
        <v>875</v>
      </c>
      <c r="U175">
        <f>HYPERLINK("https://www.cookcountyassessoril.gov/pin/19111210210000", "19-11-121-021-0000")</f>
        <v>0</v>
      </c>
      <c r="V175" t="s">
        <v>945</v>
      </c>
    </row>
    <row r="176" spans="1:22">
      <c r="A176">
        <v>175</v>
      </c>
      <c r="B176" t="s">
        <v>177</v>
      </c>
      <c r="C176" t="s">
        <v>374</v>
      </c>
      <c r="D176" t="s">
        <v>406</v>
      </c>
      <c r="I176">
        <v>15500</v>
      </c>
      <c r="K176" t="s">
        <v>562</v>
      </c>
      <c r="L176">
        <f>HYPERLINK("https://maps.cookcountyil.gov/cookviewer/?search=824 N HOMAN AVE", "824 N HOMAN AVE")</f>
        <v>0</v>
      </c>
      <c r="N176" t="s">
        <v>586</v>
      </c>
      <c r="P176" t="s">
        <v>738</v>
      </c>
      <c r="Q176" t="s">
        <v>925</v>
      </c>
      <c r="U176" t="s">
        <v>943</v>
      </c>
      <c r="V176" t="s">
        <v>945</v>
      </c>
    </row>
    <row r="177" spans="1:22">
      <c r="A177">
        <v>176</v>
      </c>
      <c r="B177" t="s">
        <v>178</v>
      </c>
      <c r="C177" t="s">
        <v>375</v>
      </c>
      <c r="D177" t="s">
        <v>406</v>
      </c>
      <c r="I177">
        <v>2000</v>
      </c>
      <c r="K177" t="s">
        <v>563</v>
      </c>
      <c r="L177">
        <f>HYPERLINK("https://maps.cookcountyil.gov/cookviewer/?search=7731 S KINGSTON AVE", "7731 S KINGSTON AVE")</f>
        <v>0</v>
      </c>
      <c r="N177" t="s">
        <v>586</v>
      </c>
      <c r="P177" t="s">
        <v>739</v>
      </c>
      <c r="Q177" t="s">
        <v>926</v>
      </c>
      <c r="U177">
        <f>HYPERLINK("https://www.cookcountyassessoril.gov/pin/21303210080000", "21-30-321-008-0000")</f>
        <v>0</v>
      </c>
      <c r="V177" t="s">
        <v>944</v>
      </c>
    </row>
    <row r="178" spans="1:22">
      <c r="A178">
        <v>177</v>
      </c>
      <c r="B178" t="s">
        <v>179</v>
      </c>
      <c r="C178" t="s">
        <v>376</v>
      </c>
      <c r="D178" t="s">
        <v>407</v>
      </c>
      <c r="I178">
        <v>222000</v>
      </c>
      <c r="K178" t="s">
        <v>564</v>
      </c>
      <c r="L178">
        <f>HYPERLINK("https://maps.cookcountyil.gov/cookviewer/?search=1325 N STATE PKWY", "1325 N STATE PKWY")</f>
        <v>0</v>
      </c>
      <c r="N178" t="s">
        <v>586</v>
      </c>
      <c r="P178" t="s">
        <v>740</v>
      </c>
      <c r="Q178" t="s">
        <v>927</v>
      </c>
      <c r="U178" t="s">
        <v>943</v>
      </c>
      <c r="V178" t="s">
        <v>944</v>
      </c>
    </row>
    <row r="179" spans="1:22">
      <c r="A179">
        <v>178</v>
      </c>
      <c r="B179" t="s">
        <v>180</v>
      </c>
      <c r="C179" t="s">
        <v>377</v>
      </c>
      <c r="D179" t="s">
        <v>405</v>
      </c>
      <c r="I179">
        <v>7700</v>
      </c>
      <c r="K179" t="s">
        <v>565</v>
      </c>
      <c r="L179">
        <f>HYPERLINK("https://maps.cookcountyil.gov/cookviewer/?search=2545 W ARGYLE ST", "2545 W ARGYLE ST")</f>
        <v>0</v>
      </c>
      <c r="N179" t="s">
        <v>586</v>
      </c>
      <c r="P179" t="s">
        <v>741</v>
      </c>
      <c r="Q179" t="s">
        <v>928</v>
      </c>
      <c r="U179">
        <f>HYPERLINK("https://www.cookcountyassessoril.gov/pin/13124150120000", "13-12-415-012-0000")</f>
        <v>0</v>
      </c>
      <c r="V179" t="s">
        <v>944</v>
      </c>
    </row>
    <row r="180" spans="1:22">
      <c r="A180">
        <v>179</v>
      </c>
      <c r="B180" t="s">
        <v>181</v>
      </c>
      <c r="C180" t="s">
        <v>378</v>
      </c>
      <c r="D180" t="s">
        <v>406</v>
      </c>
      <c r="I180">
        <v>43525</v>
      </c>
      <c r="K180" t="s">
        <v>566</v>
      </c>
      <c r="L180">
        <f>HYPERLINK("https://maps.cookcountyil.gov/cookviewer/?search=1630 W WARREN BLVD", "1630 W WARREN BLVD")</f>
        <v>0</v>
      </c>
      <c r="N180" t="s">
        <v>586</v>
      </c>
      <c r="P180" t="s">
        <v>742</v>
      </c>
      <c r="Q180" t="s">
        <v>929</v>
      </c>
      <c r="U180" t="s">
        <v>943</v>
      </c>
      <c r="V180" t="s">
        <v>945</v>
      </c>
    </row>
    <row r="181" spans="1:22">
      <c r="A181">
        <v>180</v>
      </c>
      <c r="B181" t="s">
        <v>182</v>
      </c>
      <c r="C181" t="s">
        <v>379</v>
      </c>
      <c r="D181" t="s">
        <v>405</v>
      </c>
      <c r="I181">
        <v>12603</v>
      </c>
      <c r="K181" t="s">
        <v>567</v>
      </c>
      <c r="L181">
        <f>HYPERLINK("https://maps.cookcountyil.gov/cookviewer/?search=2125 N MASON AVE", "2125 N MASON AVE")</f>
        <v>0</v>
      </c>
      <c r="N181" t="s">
        <v>586</v>
      </c>
      <c r="P181" t="s">
        <v>743</v>
      </c>
      <c r="Q181" t="s">
        <v>930</v>
      </c>
      <c r="U181">
        <f>HYPERLINK("https://www.cookcountyassessoril.gov/pin/13322200250000", "13-32-220-025-0000")</f>
        <v>0</v>
      </c>
      <c r="V181" t="s">
        <v>945</v>
      </c>
    </row>
    <row r="182" spans="1:22">
      <c r="A182">
        <v>181</v>
      </c>
      <c r="B182" t="s">
        <v>183</v>
      </c>
      <c r="C182" t="s">
        <v>380</v>
      </c>
      <c r="D182" t="s">
        <v>406</v>
      </c>
      <c r="I182">
        <v>5000</v>
      </c>
      <c r="K182" t="s">
        <v>568</v>
      </c>
      <c r="L182">
        <f>HYPERLINK("https://maps.cookcountyil.gov/cookviewer/?search=5425 S NORMANDY AVE", "5425 S NORMANDY AVE")</f>
        <v>0</v>
      </c>
      <c r="N182" t="s">
        <v>586</v>
      </c>
      <c r="P182" t="s">
        <v>744</v>
      </c>
      <c r="Q182" t="s">
        <v>931</v>
      </c>
      <c r="U182">
        <f>HYPERLINK("https://www.cookcountyassessoril.gov/pin/19074260090000", "19-07-426-009-0000")</f>
        <v>0</v>
      </c>
      <c r="V182" t="s">
        <v>944</v>
      </c>
    </row>
    <row r="183" spans="1:22">
      <c r="A183">
        <v>182</v>
      </c>
      <c r="B183" t="s">
        <v>184</v>
      </c>
      <c r="C183" t="s">
        <v>381</v>
      </c>
      <c r="D183" t="s">
        <v>406</v>
      </c>
      <c r="I183">
        <v>2000</v>
      </c>
      <c r="K183" t="s">
        <v>569</v>
      </c>
      <c r="L183">
        <f>HYPERLINK("https://maps.cookcountyil.gov/cookviewer/?search=1339 W THORNDALE AVE", "1339 W THORNDALE AVE")</f>
        <v>0</v>
      </c>
      <c r="N183" t="s">
        <v>586</v>
      </c>
      <c r="P183" t="s">
        <v>745</v>
      </c>
      <c r="Q183" t="s">
        <v>795</v>
      </c>
      <c r="U183" t="s">
        <v>943</v>
      </c>
      <c r="V183" t="s">
        <v>944</v>
      </c>
    </row>
    <row r="184" spans="1:22">
      <c r="A184">
        <v>183</v>
      </c>
      <c r="B184" t="s">
        <v>185</v>
      </c>
      <c r="C184" t="s">
        <v>382</v>
      </c>
      <c r="D184" t="s">
        <v>406</v>
      </c>
      <c r="I184">
        <v>500</v>
      </c>
      <c r="K184" t="s">
        <v>570</v>
      </c>
      <c r="L184">
        <f>HYPERLINK("https://maps.cookcountyil.gov/cookviewer/?search=8408 S YATES BLVD", "8408 S YATES BLVD")</f>
        <v>0</v>
      </c>
      <c r="N184" t="s">
        <v>586</v>
      </c>
      <c r="P184" t="s">
        <v>746</v>
      </c>
      <c r="Q184" t="s">
        <v>932</v>
      </c>
      <c r="U184">
        <f>HYPERLINK("https://www.cookcountyassessoril.gov/pin/20364140420000", "20-36-414-042-0000")</f>
        <v>0</v>
      </c>
      <c r="V184" t="s">
        <v>944</v>
      </c>
    </row>
    <row r="185" spans="1:22">
      <c r="A185">
        <v>184</v>
      </c>
      <c r="B185" t="s">
        <v>186</v>
      </c>
      <c r="C185" t="s">
        <v>383</v>
      </c>
      <c r="D185" t="s">
        <v>407</v>
      </c>
      <c r="I185">
        <v>24000</v>
      </c>
      <c r="K185" t="s">
        <v>571</v>
      </c>
      <c r="L185">
        <f>HYPERLINK("https://maps.cookcountyil.gov/cookviewer/?search=6117 S ADA ST", "6117 S ADA ST")</f>
        <v>0</v>
      </c>
      <c r="N185" t="s">
        <v>586</v>
      </c>
      <c r="P185" t="s">
        <v>747</v>
      </c>
      <c r="Q185" t="s">
        <v>812</v>
      </c>
      <c r="U185">
        <f>HYPERLINK("https://www.cookcountyassessoril.gov/pin/20173210130000", "20-17-321-013-0000")</f>
        <v>0</v>
      </c>
      <c r="V185" t="s">
        <v>944</v>
      </c>
    </row>
    <row r="186" spans="1:22">
      <c r="A186">
        <v>185</v>
      </c>
      <c r="B186" t="s">
        <v>187</v>
      </c>
      <c r="C186" t="s">
        <v>384</v>
      </c>
      <c r="D186" t="s">
        <v>407</v>
      </c>
      <c r="I186">
        <v>16000</v>
      </c>
      <c r="K186" t="s">
        <v>572</v>
      </c>
      <c r="L186">
        <f>HYPERLINK("https://maps.cookcountyil.gov/cookviewer/?search=7932 S PAXTON AVE", "7932 S PAXTON AVE")</f>
        <v>0</v>
      </c>
      <c r="N186" t="s">
        <v>586</v>
      </c>
      <c r="P186" t="s">
        <v>748</v>
      </c>
      <c r="Q186" t="s">
        <v>812</v>
      </c>
      <c r="U186" t="s">
        <v>943</v>
      </c>
      <c r="V186" t="s">
        <v>944</v>
      </c>
    </row>
    <row r="187" spans="1:22">
      <c r="A187">
        <v>186</v>
      </c>
      <c r="B187" t="s">
        <v>188</v>
      </c>
      <c r="C187" t="s">
        <v>385</v>
      </c>
      <c r="D187" t="s">
        <v>406</v>
      </c>
      <c r="I187">
        <v>1000</v>
      </c>
      <c r="K187" t="s">
        <v>573</v>
      </c>
      <c r="L187">
        <f>HYPERLINK("https://maps.cookcountyil.gov/cookviewer/?search=2758 S ST LOUIS AVE", "2758 S ST LOUIS AVE")</f>
        <v>0</v>
      </c>
      <c r="N187" t="s">
        <v>586</v>
      </c>
      <c r="P187" t="s">
        <v>749</v>
      </c>
      <c r="Q187" t="s">
        <v>933</v>
      </c>
      <c r="U187" t="s">
        <v>943</v>
      </c>
      <c r="V187" t="s">
        <v>944</v>
      </c>
    </row>
    <row r="188" spans="1:22">
      <c r="A188">
        <v>187</v>
      </c>
      <c r="B188" t="s">
        <v>189</v>
      </c>
      <c r="C188" t="s">
        <v>386</v>
      </c>
      <c r="D188" t="s">
        <v>407</v>
      </c>
      <c r="I188">
        <v>22848</v>
      </c>
      <c r="K188" t="s">
        <v>574</v>
      </c>
      <c r="L188">
        <f>HYPERLINK("https://maps.cookcountyil.gov/cookviewer/?search=3522 W LYNDALE ST", "3522 W LYNDALE ST")</f>
        <v>0</v>
      </c>
      <c r="N188" t="s">
        <v>586</v>
      </c>
      <c r="P188" t="s">
        <v>750</v>
      </c>
      <c r="Q188" t="s">
        <v>934</v>
      </c>
      <c r="U188">
        <f>HYPERLINK("https://www.cookcountyassessoril.gov/pin/13352100190000", "13-35-210-019-0000")</f>
        <v>0</v>
      </c>
      <c r="V188" t="s">
        <v>945</v>
      </c>
    </row>
    <row r="189" spans="1:22">
      <c r="A189">
        <v>188</v>
      </c>
      <c r="B189" t="s">
        <v>190</v>
      </c>
      <c r="C189" t="s">
        <v>387</v>
      </c>
      <c r="D189" t="s">
        <v>407</v>
      </c>
      <c r="I189">
        <v>19022</v>
      </c>
      <c r="K189" t="s">
        <v>575</v>
      </c>
      <c r="L189">
        <f>HYPERLINK("https://maps.cookcountyil.gov/cookviewer/?search=8320 S ANTHONY AVE", "8320 S ANTHONY AVE")</f>
        <v>0</v>
      </c>
      <c r="N189" t="s">
        <v>586</v>
      </c>
      <c r="P189" t="s">
        <v>751</v>
      </c>
      <c r="Q189" t="s">
        <v>935</v>
      </c>
      <c r="U189">
        <f>HYPERLINK("https://www.cookcountyassessoril.gov/pin/20363060010000", "20-36-306-001-0000")</f>
        <v>0</v>
      </c>
      <c r="V189" t="s">
        <v>945</v>
      </c>
    </row>
    <row r="190" spans="1:22">
      <c r="A190">
        <v>189</v>
      </c>
      <c r="B190" t="s">
        <v>191</v>
      </c>
      <c r="C190" t="s">
        <v>388</v>
      </c>
      <c r="D190" t="s">
        <v>406</v>
      </c>
      <c r="I190">
        <v>11274</v>
      </c>
      <c r="K190" t="s">
        <v>576</v>
      </c>
      <c r="L190">
        <f>HYPERLINK("https://maps.cookcountyil.gov/cookviewer/?search=7141 S OAKLEY AVE", "7141 S OAKLEY AVE")</f>
        <v>0</v>
      </c>
      <c r="N190" t="s">
        <v>586</v>
      </c>
      <c r="P190" t="s">
        <v>752</v>
      </c>
      <c r="Q190" t="s">
        <v>936</v>
      </c>
      <c r="U190">
        <f>HYPERLINK("https://www.cookcountyassessoril.gov/pin/20301020210000", "20-30-102-021-0000")</f>
        <v>0</v>
      </c>
      <c r="V190" t="s">
        <v>945</v>
      </c>
    </row>
    <row r="191" spans="1:22">
      <c r="A191">
        <v>190</v>
      </c>
      <c r="B191" t="s">
        <v>190</v>
      </c>
      <c r="C191" t="s">
        <v>389</v>
      </c>
      <c r="D191" t="s">
        <v>406</v>
      </c>
      <c r="I191">
        <v>5000</v>
      </c>
      <c r="K191" t="s">
        <v>575</v>
      </c>
      <c r="L191">
        <f>HYPERLINK("https://maps.cookcountyil.gov/cookviewer/?search=8320 S ANTHONY AVE", "8320 S ANTHONY AVE")</f>
        <v>0</v>
      </c>
      <c r="N191" t="s">
        <v>586</v>
      </c>
      <c r="P191" t="s">
        <v>751</v>
      </c>
      <c r="Q191" t="s">
        <v>786</v>
      </c>
      <c r="U191">
        <f>HYPERLINK("https://www.cookcountyassessoril.gov/pin/20363060010000", "20-36-306-001-0000")</f>
        <v>0</v>
      </c>
      <c r="V191" t="s">
        <v>944</v>
      </c>
    </row>
    <row r="192" spans="1:22">
      <c r="A192">
        <v>191</v>
      </c>
      <c r="B192" t="s">
        <v>192</v>
      </c>
      <c r="C192" t="s">
        <v>390</v>
      </c>
      <c r="D192" t="s">
        <v>406</v>
      </c>
      <c r="I192">
        <v>500</v>
      </c>
      <c r="K192" t="s">
        <v>577</v>
      </c>
      <c r="L192">
        <f>HYPERLINK("https://maps.cookcountyil.gov/cookviewer/?search=7833 S BURNHAM AVE", "7833 S BURNHAM AVE")</f>
        <v>0</v>
      </c>
      <c r="N192" t="s">
        <v>586</v>
      </c>
      <c r="P192" t="s">
        <v>753</v>
      </c>
      <c r="Q192" t="s">
        <v>937</v>
      </c>
      <c r="U192">
        <f>HYPERLINK("https://www.cookcountyassessoril.gov/pin/21304070110000", "21-30-407-011-0000")</f>
        <v>0</v>
      </c>
      <c r="V192" t="s">
        <v>944</v>
      </c>
    </row>
    <row r="193" spans="1:22">
      <c r="A193">
        <v>192</v>
      </c>
      <c r="B193" t="s">
        <v>193</v>
      </c>
      <c r="C193" t="s">
        <v>391</v>
      </c>
      <c r="D193" t="s">
        <v>406</v>
      </c>
      <c r="I193">
        <v>29410</v>
      </c>
      <c r="K193" t="s">
        <v>578</v>
      </c>
      <c r="L193">
        <f>HYPERLINK("https://maps.cookcountyil.gov/cookviewer/?search=5005 W BYRON ST", "5005 W BYRON ST")</f>
        <v>0</v>
      </c>
      <c r="N193" t="s">
        <v>586</v>
      </c>
      <c r="P193" t="s">
        <v>754</v>
      </c>
      <c r="Q193" t="s">
        <v>846</v>
      </c>
      <c r="U193">
        <f>HYPERLINK("https://www.cookcountyassessoril.gov/pin/13212090210000", "13-21-209-021-0000")</f>
        <v>0</v>
      </c>
      <c r="V193" t="s">
        <v>945</v>
      </c>
    </row>
    <row r="194" spans="1:22">
      <c r="A194">
        <v>193</v>
      </c>
      <c r="B194" t="s">
        <v>194</v>
      </c>
      <c r="C194" t="s">
        <v>392</v>
      </c>
      <c r="D194" t="s">
        <v>406</v>
      </c>
      <c r="I194">
        <v>7000</v>
      </c>
      <c r="K194" t="s">
        <v>579</v>
      </c>
      <c r="L194">
        <f>HYPERLINK("https://maps.cookcountyil.gov/cookviewer/?search=6152 N KEELER AVE", "6152 N KEELER AVE")</f>
        <v>0</v>
      </c>
      <c r="N194" t="s">
        <v>586</v>
      </c>
      <c r="P194" t="s">
        <v>755</v>
      </c>
      <c r="Q194" t="s">
        <v>938</v>
      </c>
      <c r="U194">
        <f>HYPERLINK("https://www.cookcountyassessoril.gov/pin/13032200400000", "13-03-220-040-0000")</f>
        <v>0</v>
      </c>
      <c r="V194" t="s">
        <v>944</v>
      </c>
    </row>
    <row r="195" spans="1:22">
      <c r="A195">
        <v>194</v>
      </c>
      <c r="B195" t="s">
        <v>195</v>
      </c>
      <c r="C195" t="s">
        <v>393</v>
      </c>
      <c r="D195" t="s">
        <v>406</v>
      </c>
      <c r="I195">
        <v>42063</v>
      </c>
      <c r="K195" t="s">
        <v>580</v>
      </c>
      <c r="L195">
        <f>HYPERLINK("https://maps.cookcountyil.gov/cookviewer/?search=1644 N LATROBE AVE", "1644 N LATROBE AVE")</f>
        <v>0</v>
      </c>
      <c r="N195" t="s">
        <v>586</v>
      </c>
      <c r="P195" t="s">
        <v>756</v>
      </c>
      <c r="Q195" t="s">
        <v>846</v>
      </c>
      <c r="U195">
        <f>HYPERLINK("https://www.cookcountyassessoril.gov/pin/13333250200000", "13-33-325-020-0000")</f>
        <v>0</v>
      </c>
      <c r="V195" t="s">
        <v>945</v>
      </c>
    </row>
    <row r="196" spans="1:22">
      <c r="A196">
        <v>195</v>
      </c>
      <c r="B196" t="s">
        <v>196</v>
      </c>
      <c r="C196" t="s">
        <v>394</v>
      </c>
      <c r="D196" t="s">
        <v>407</v>
      </c>
      <c r="I196">
        <v>2500</v>
      </c>
      <c r="K196" t="s">
        <v>581</v>
      </c>
      <c r="L196">
        <f>HYPERLINK("https://maps.cookcountyil.gov/cookviewer/?search=426 W ENGLEWOOD AVE", "426 W ENGLEWOOD AVE")</f>
        <v>0</v>
      </c>
      <c r="N196" t="s">
        <v>586</v>
      </c>
      <c r="P196" t="s">
        <v>757</v>
      </c>
      <c r="Q196" t="s">
        <v>888</v>
      </c>
      <c r="U196" t="s">
        <v>943</v>
      </c>
      <c r="V196" t="s">
        <v>944</v>
      </c>
    </row>
    <row r="197" spans="1:22">
      <c r="A197">
        <v>196</v>
      </c>
      <c r="B197" t="s">
        <v>197</v>
      </c>
      <c r="C197" t="s">
        <v>395</v>
      </c>
      <c r="D197" t="s">
        <v>407</v>
      </c>
      <c r="I197">
        <v>16685</v>
      </c>
      <c r="K197" t="s">
        <v>582</v>
      </c>
      <c r="L197">
        <f>HYPERLINK("https://maps.cookcountyil.gov/cookviewer/?search=5742 S NEWLAND AVE", "5742 S NEWLAND AVE")</f>
        <v>0</v>
      </c>
      <c r="N197" t="s">
        <v>586</v>
      </c>
      <c r="P197" t="s">
        <v>758</v>
      </c>
      <c r="Q197" t="s">
        <v>939</v>
      </c>
      <c r="U197">
        <f>HYPERLINK("https://www.cookcountyassessoril.gov/pin/19181200350000", "19-18-120-035-0000")</f>
        <v>0</v>
      </c>
      <c r="V197" t="s">
        <v>945</v>
      </c>
    </row>
    <row r="198" spans="1:22">
      <c r="A198">
        <v>197</v>
      </c>
      <c r="B198" t="s">
        <v>197</v>
      </c>
      <c r="C198" t="s">
        <v>396</v>
      </c>
      <c r="D198" t="s">
        <v>406</v>
      </c>
      <c r="I198">
        <v>5000</v>
      </c>
      <c r="K198" t="s">
        <v>582</v>
      </c>
      <c r="L198">
        <f>HYPERLINK("https://maps.cookcountyil.gov/cookviewer/?search=5742 S NEWLAND AVE", "5742 S NEWLAND AVE")</f>
        <v>0</v>
      </c>
      <c r="N198" t="s">
        <v>586</v>
      </c>
      <c r="P198" t="s">
        <v>758</v>
      </c>
      <c r="Q198" t="s">
        <v>782</v>
      </c>
      <c r="U198">
        <f>HYPERLINK("https://www.cookcountyassessoril.gov/pin/19181200350000", "19-18-120-035-0000")</f>
        <v>0</v>
      </c>
      <c r="V198" t="s">
        <v>944</v>
      </c>
    </row>
    <row r="199" spans="1:22">
      <c r="A199">
        <v>198</v>
      </c>
      <c r="B199" t="s">
        <v>198</v>
      </c>
      <c r="C199" t="s">
        <v>397</v>
      </c>
      <c r="D199" t="s">
        <v>406</v>
      </c>
      <c r="I199">
        <v>40000</v>
      </c>
      <c r="K199" t="s">
        <v>583</v>
      </c>
      <c r="L199">
        <f>HYPERLINK("https://maps.cookcountyil.gov/cookviewer/?search=1707 N LONG AVE", "1707 N LONG AVE")</f>
        <v>0</v>
      </c>
      <c r="N199" t="s">
        <v>586</v>
      </c>
      <c r="P199" t="s">
        <v>759</v>
      </c>
      <c r="Q199" t="s">
        <v>940</v>
      </c>
      <c r="U199">
        <f>HYPERLINK("https://www.cookcountyassessoril.gov/pin/13333150180000", "13-33-315-018-0000")</f>
        <v>0</v>
      </c>
      <c r="V199" t="s">
        <v>945</v>
      </c>
    </row>
    <row r="200" spans="1:22">
      <c r="A200">
        <v>199</v>
      </c>
      <c r="B200" t="s">
        <v>199</v>
      </c>
      <c r="C200" t="s">
        <v>398</v>
      </c>
      <c r="D200" t="s">
        <v>406</v>
      </c>
      <c r="I200">
        <v>2500</v>
      </c>
      <c r="K200" t="s">
        <v>584</v>
      </c>
      <c r="L200">
        <f>HYPERLINK("https://maps.cookcountyil.gov/cookviewer/?search=2427 W CHARLESTON ST", "2427 W CHARLESTON ST")</f>
        <v>0</v>
      </c>
      <c r="N200" t="s">
        <v>586</v>
      </c>
      <c r="P200" t="s">
        <v>760</v>
      </c>
      <c r="Q200" t="s">
        <v>941</v>
      </c>
      <c r="U200">
        <f>HYPERLINK("https://www.cookcountyassessoril.gov/pin/13362260020000", "13-36-226-002-0000")</f>
        <v>0</v>
      </c>
      <c r="V200" t="s">
        <v>944</v>
      </c>
    </row>
    <row r="201" spans="1:22">
      <c r="A201">
        <v>200</v>
      </c>
      <c r="B201" t="s">
        <v>200</v>
      </c>
      <c r="C201" t="s">
        <v>399</v>
      </c>
      <c r="D201" t="s">
        <v>406</v>
      </c>
      <c r="I201">
        <v>74500</v>
      </c>
      <c r="K201" t="s">
        <v>585</v>
      </c>
      <c r="L201">
        <f>HYPERLINK("https://maps.cookcountyil.gov/cookviewer/?search=4646 N GREENVIEW AVE", "4646 N GREENVIEW AVE")</f>
        <v>0</v>
      </c>
      <c r="N201" t="s">
        <v>586</v>
      </c>
      <c r="P201" t="s">
        <v>761</v>
      </c>
      <c r="Q201" t="s">
        <v>942</v>
      </c>
      <c r="U201" t="s">
        <v>943</v>
      </c>
      <c r="V201" t="s">
        <v>944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2025-09-09T20:01:41Z</dcterms:created>
  <dcterms:modified xsi:type="dcterms:W3CDTF">2025-09-09T20:01:41Z</dcterms:modified>
</cp:coreProperties>
</file>