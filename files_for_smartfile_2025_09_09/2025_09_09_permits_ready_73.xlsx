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<sst xmlns="http://schemas.openxmlformats.org/spreadsheetml/2006/main" count="1666" uniqueCount="972">
  <si>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</si>
  <si>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</si>
  <si>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</si>
  <si>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</si>
  <si>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</si>
  <si>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</si>
  <si>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</si>
  <si>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</si>
  <si>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</si>
  <si>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</si>
  <si>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</si>
  <si>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Property Address</t>
  </si>
  <si>
    <t>Applicant Address 2 [ADDR2]</t>
  </si>
  <si>
    <t>Applicant City, State, Zip* [ADDR3]</t>
  </si>
  <si>
    <t>Contact Phone* [PHONE]</t>
  </si>
  <si>
    <t>Applicant* [USER21]</t>
  </si>
  <si>
    <t>Notes [NOTE1]</t>
  </si>
  <si>
    <t>Occupy Dt [UDATE1]</t>
  </si>
  <si>
    <t>Submit Dt* [CERTDATE]</t>
  </si>
  <si>
    <t>Est Comp Dt [UDATE2]</t>
  </si>
  <si>
    <t>Suggested PINs</t>
  </si>
  <si>
    <t>Likely_Assessable</t>
  </si>
  <si>
    <t>user21</t>
  </si>
  <si>
    <t>14282040100000</t>
  </si>
  <si>
    <t>16264110040000</t>
  </si>
  <si>
    <t>25171070100000</t>
  </si>
  <si>
    <t>16044010290000</t>
  </si>
  <si>
    <t>13253210150000</t>
  </si>
  <si>
    <t>17203180330000</t>
  </si>
  <si>
    <t>20263100260000</t>
  </si>
  <si>
    <t>20263170190000</t>
  </si>
  <si>
    <t>13171170050000</t>
  </si>
  <si>
    <t>20363060110000</t>
  </si>
  <si>
    <t>16041020220000</t>
  </si>
  <si>
    <t>14203090310000</t>
  </si>
  <si>
    <t>14184040140000</t>
  </si>
  <si>
    <t>20324000200000</t>
  </si>
  <si>
    <t>17322170400000</t>
  </si>
  <si>
    <t>14194040340000</t>
  </si>
  <si>
    <t>13142130310000</t>
  </si>
  <si>
    <t>20064070490000</t>
  </si>
  <si>
    <t>25083000080000</t>
  </si>
  <si>
    <t>19233070340000</t>
  </si>
  <si>
    <t>19174190080000</t>
  </si>
  <si>
    <t>19362160330000</t>
  </si>
  <si>
    <t>09363070380000</t>
  </si>
  <si>
    <t>19353250350000</t>
  </si>
  <si>
    <t>19181120170000</t>
  </si>
  <si>
    <t>19024210080000</t>
  </si>
  <si>
    <t>13131270190000</t>
  </si>
  <si>
    <t>24143230220000</t>
  </si>
  <si>
    <t>13122220470000</t>
  </si>
  <si>
    <t>25011200030000</t>
  </si>
  <si>
    <t>25152240200000</t>
  </si>
  <si>
    <t>25184010200000</t>
  </si>
  <si>
    <t>14303180010000</t>
  </si>
  <si>
    <t>20114220140000</t>
  </si>
  <si>
    <t>13133270230000</t>
  </si>
  <si>
    <t>16052020070000</t>
  </si>
  <si>
    <t>17032280040000</t>
  </si>
  <si>
    <t>17094280010000</t>
  </si>
  <si>
    <t>13074040350000</t>
  </si>
  <si>
    <t>14301040340000</t>
  </si>
  <si>
    <t>26083270260000</t>
  </si>
  <si>
    <t>14281030650000</t>
  </si>
  <si>
    <t>11304060040000</t>
  </si>
  <si>
    <t>11303130200000</t>
  </si>
  <si>
    <t>11304060050000</t>
  </si>
  <si>
    <t>13333230120000</t>
  </si>
  <si>
    <t>13281180100000</t>
  </si>
  <si>
    <t>13214080090000</t>
  </si>
  <si>
    <t>16032350090000</t>
  </si>
  <si>
    <t>19103200520000</t>
  </si>
  <si>
    <t>14314220420000</t>
  </si>
  <si>
    <t>13342100370000</t>
  </si>
  <si>
    <t>20253310390000</t>
  </si>
  <si>
    <t>13292300300000</t>
  </si>
  <si>
    <t>13291150340000</t>
  </si>
  <si>
    <t>17031020260000</t>
  </si>
  <si>
    <t>14301070410000</t>
  </si>
  <si>
    <t>20191170480000</t>
  </si>
  <si>
    <t>19094000430000</t>
  </si>
  <si>
    <t>16023040440000</t>
  </si>
  <si>
    <t>25043270260000</t>
  </si>
  <si>
    <t>25064190430000</t>
  </si>
  <si>
    <t>20321210020000</t>
  </si>
  <si>
    <t>25072070040000</t>
  </si>
  <si>
    <t>13141220160000</t>
  </si>
  <si>
    <t>19142070330000</t>
  </si>
  <si>
    <t>14213120470000</t>
  </si>
  <si>
    <t>19073190310000</t>
  </si>
  <si>
    <t>14191250040000</t>
  </si>
  <si>
    <t>12242270200000</t>
  </si>
  <si>
    <t>13273160040000</t>
  </si>
  <si>
    <t>20363100240000</t>
  </si>
  <si>
    <t>13333120330000</t>
  </si>
  <si>
    <t>16044000300000</t>
  </si>
  <si>
    <t>09365000050000</t>
  </si>
  <si>
    <t>13094010330000</t>
  </si>
  <si>
    <t>10364270060000</t>
  </si>
  <si>
    <t>17043110400000</t>
  </si>
  <si>
    <t>13261290010000</t>
  </si>
  <si>
    <t>11304110380000</t>
  </si>
  <si>
    <t>13261270070000</t>
  </si>
  <si>
    <t>17151050200000</t>
  </si>
  <si>
    <t>20301250010000</t>
  </si>
  <si>
    <t>19152200390000</t>
  </si>
  <si>
    <t>21321030010000</t>
  </si>
  <si>
    <t>11322020280000</t>
  </si>
  <si>
    <t>19011180300000</t>
  </si>
  <si>
    <t>16133030010000</t>
  </si>
  <si>
    <t>20164070360000</t>
  </si>
  <si>
    <t>16124140730000</t>
  </si>
  <si>
    <t>17193220210000</t>
  </si>
  <si>
    <t>11321230090000</t>
  </si>
  <si>
    <t>11323120160000</t>
  </si>
  <si>
    <t>25043050260000</t>
  </si>
  <si>
    <t>16012170440000</t>
  </si>
  <si>
    <t>17282110540000</t>
  </si>
  <si>
    <t>13254240310000</t>
  </si>
  <si>
    <t>20173290170000</t>
  </si>
  <si>
    <t>13362020140000</t>
  </si>
  <si>
    <t>13331000020000</t>
  </si>
  <si>
    <t>25211290110000</t>
  </si>
  <si>
    <t>13313060360000</t>
  </si>
  <si>
    <t>25013090140000</t>
  </si>
  <si>
    <t>19263030300000</t>
  </si>
  <si>
    <t>13142260030000</t>
  </si>
  <si>
    <t>14053110460000</t>
  </si>
  <si>
    <t>17221070600000</t>
  </si>
  <si>
    <t>19044240100000</t>
  </si>
  <si>
    <t>19251210190000</t>
  </si>
  <si>
    <t>13193230470000</t>
  </si>
  <si>
    <t>13174210230000</t>
  </si>
  <si>
    <t>11293030030000</t>
  </si>
  <si>
    <t>17104010140000</t>
  </si>
  <si>
    <t>20023180440000</t>
  </si>
  <si>
    <t>25203020160000</t>
  </si>
  <si>
    <t>25092210220000</t>
  </si>
  <si>
    <t>25082090150000</t>
  </si>
  <si>
    <t>14082110470000</t>
  </si>
  <si>
    <t>17081100300000</t>
  </si>
  <si>
    <t>25011270310000</t>
  </si>
  <si>
    <t>17165000310000</t>
  </si>
  <si>
    <t>11311180060000</t>
  </si>
  <si>
    <t>14291310540000</t>
  </si>
  <si>
    <t>14172140090000</t>
  </si>
  <si>
    <t>17101180060000</t>
  </si>
  <si>
    <t>12244030360000</t>
  </si>
  <si>
    <t>19024050710000</t>
  </si>
  <si>
    <t>14191190140000</t>
  </si>
  <si>
    <t>14334010680000</t>
  </si>
  <si>
    <t>14084060110000</t>
  </si>
  <si>
    <t>25183010250000</t>
  </si>
  <si>
    <t>20273080300000</t>
  </si>
  <si>
    <t>17041110540000</t>
  </si>
  <si>
    <t>16174120100000</t>
  </si>
  <si>
    <t>20111080260000</t>
  </si>
  <si>
    <t>12252030140000</t>
  </si>
  <si>
    <t>13211200090000</t>
  </si>
  <si>
    <t>19362070180000</t>
  </si>
  <si>
    <t>19152120400000</t>
  </si>
  <si>
    <t>14173030270000</t>
  </si>
  <si>
    <t>20114020010000</t>
  </si>
  <si>
    <t>19011300130000</t>
  </si>
  <si>
    <t>20191160080000</t>
  </si>
  <si>
    <t>17081060410000</t>
  </si>
  <si>
    <t>17084040080000</t>
  </si>
  <si>
    <t>16251260260000</t>
  </si>
  <si>
    <t>20211120250000</t>
  </si>
  <si>
    <t>25084180190000</t>
  </si>
  <si>
    <t>19363200160000</t>
  </si>
  <si>
    <t>25054210280000</t>
  </si>
  <si>
    <t>14213120570000</t>
  </si>
  <si>
    <t>13292200050000</t>
  </si>
  <si>
    <t>14082030160000</t>
  </si>
  <si>
    <t>13161140570000</t>
  </si>
  <si>
    <t>13252190510000</t>
  </si>
  <si>
    <t>20182170350000</t>
  </si>
  <si>
    <t>16092260260000</t>
  </si>
  <si>
    <t>14071100340000</t>
  </si>
  <si>
    <t>26083200410000</t>
  </si>
  <si>
    <t>25054010320000</t>
  </si>
  <si>
    <t>26174060200000</t>
  </si>
  <si>
    <t>17174190150000</t>
  </si>
  <si>
    <t>13171070900000</t>
  </si>
  <si>
    <t>20234020100000</t>
  </si>
  <si>
    <t>25171210300000</t>
  </si>
  <si>
    <t>17202331040000</t>
  </si>
  <si>
    <t>13141200170000</t>
  </si>
  <si>
    <t>19264070230000</t>
  </si>
  <si>
    <t>13353130210000</t>
  </si>
  <si>
    <t>13212080090000</t>
  </si>
  <si>
    <t>13122220620000</t>
  </si>
  <si>
    <t>14062140260000</t>
  </si>
  <si>
    <t>25104090230000</t>
  </si>
  <si>
    <t>13163120140000</t>
  </si>
  <si>
    <t>17094540010000</t>
  </si>
  <si>
    <t>17053220080000</t>
  </si>
  <si>
    <t>11312200160000</t>
  </si>
  <si>
    <t>14193060160000</t>
  </si>
  <si>
    <t>17031090120000</t>
  </si>
  <si>
    <t>16102010060000</t>
  </si>
  <si>
    <t>16124180150000</t>
  </si>
  <si>
    <t>26083230150000</t>
  </si>
  <si>
    <t>B200438414</t>
  </si>
  <si>
    <t>B200438415</t>
  </si>
  <si>
    <t>B200438428</t>
  </si>
  <si>
    <t>B200438433</t>
  </si>
  <si>
    <t>B200438436</t>
  </si>
  <si>
    <t>B200438437</t>
  </si>
  <si>
    <t>B200438440</t>
  </si>
  <si>
    <t>B200438441</t>
  </si>
  <si>
    <t>B200438442</t>
  </si>
  <si>
    <t>B200438443</t>
  </si>
  <si>
    <t>B200438444</t>
  </si>
  <si>
    <t>B200438449</t>
  </si>
  <si>
    <t>B200438462</t>
  </si>
  <si>
    <t>B200438463</t>
  </si>
  <si>
    <t>B200438470</t>
  </si>
  <si>
    <t>B200438472</t>
  </si>
  <si>
    <t>B200438474</t>
  </si>
  <si>
    <t>B200438477</t>
  </si>
  <si>
    <t>B200438506</t>
  </si>
  <si>
    <t>B200438508</t>
  </si>
  <si>
    <t>B200438512</t>
  </si>
  <si>
    <t>B200438514</t>
  </si>
  <si>
    <t>B200438516</t>
  </si>
  <si>
    <t>B200438517</t>
  </si>
  <si>
    <t>B200438524</t>
  </si>
  <si>
    <t>B200438525</t>
  </si>
  <si>
    <t>B200438526</t>
  </si>
  <si>
    <t>B200438527</t>
  </si>
  <si>
    <t>B200438529</t>
  </si>
  <si>
    <t>B200438535</t>
  </si>
  <si>
    <t>B200438536</t>
  </si>
  <si>
    <t>B200438538</t>
  </si>
  <si>
    <t>B200438539</t>
  </si>
  <si>
    <t>B200438544</t>
  </si>
  <si>
    <t>B200438553</t>
  </si>
  <si>
    <t>B200438555</t>
  </si>
  <si>
    <t>B200438557</t>
  </si>
  <si>
    <t>B200438559</t>
  </si>
  <si>
    <t>B200438562</t>
  </si>
  <si>
    <t>B200438571</t>
  </si>
  <si>
    <t>B200438581</t>
  </si>
  <si>
    <t>B200438587</t>
  </si>
  <si>
    <t>B200438591</t>
  </si>
  <si>
    <t>B200438607</t>
  </si>
  <si>
    <t>B200438617</t>
  </si>
  <si>
    <t>B200438626</t>
  </si>
  <si>
    <t>B200438627</t>
  </si>
  <si>
    <t>B200438629</t>
  </si>
  <si>
    <t>B200438630</t>
  </si>
  <si>
    <t>B200438641</t>
  </si>
  <si>
    <t>B200438643</t>
  </si>
  <si>
    <t>B200438647</t>
  </si>
  <si>
    <t>B200438663</t>
  </si>
  <si>
    <t>B200438667</t>
  </si>
  <si>
    <t>B200438670</t>
  </si>
  <si>
    <t>B200438671</t>
  </si>
  <si>
    <t>B200438675</t>
  </si>
  <si>
    <t>B200438676</t>
  </si>
  <si>
    <t>B200438679</t>
  </si>
  <si>
    <t>B200438689</t>
  </si>
  <si>
    <t>B200438690</t>
  </si>
  <si>
    <t>B200438692</t>
  </si>
  <si>
    <t>B200438697</t>
  </si>
  <si>
    <t>B200438698</t>
  </si>
  <si>
    <t>B200438699</t>
  </si>
  <si>
    <t>B200438710</t>
  </si>
  <si>
    <t>B200438711</t>
  </si>
  <si>
    <t>B200438712</t>
  </si>
  <si>
    <t>B200438714</t>
  </si>
  <si>
    <t>B200438719</t>
  </si>
  <si>
    <t>B200438733</t>
  </si>
  <si>
    <t>B200438738</t>
  </si>
  <si>
    <t>B200438741</t>
  </si>
  <si>
    <t>B200438743</t>
  </si>
  <si>
    <t>B200438745</t>
  </si>
  <si>
    <t>B200438746</t>
  </si>
  <si>
    <t>B200438748</t>
  </si>
  <si>
    <t>B200438750</t>
  </si>
  <si>
    <t>B200438752</t>
  </si>
  <si>
    <t>B200438754</t>
  </si>
  <si>
    <t>B200438755</t>
  </si>
  <si>
    <t>B200438766</t>
  </si>
  <si>
    <t>B200438770</t>
  </si>
  <si>
    <t>B200438775</t>
  </si>
  <si>
    <t>B200438778</t>
  </si>
  <si>
    <t>B200438781</t>
  </si>
  <si>
    <t>B200438788</t>
  </si>
  <si>
    <t>B200438791</t>
  </si>
  <si>
    <t>B200438792</t>
  </si>
  <si>
    <t>B200438793</t>
  </si>
  <si>
    <t>B200438799</t>
  </si>
  <si>
    <t>B200438813</t>
  </si>
  <si>
    <t>B200438815</t>
  </si>
  <si>
    <t>B200438821</t>
  </si>
  <si>
    <t>B200438835</t>
  </si>
  <si>
    <t>B200438836</t>
  </si>
  <si>
    <t>B200438840</t>
  </si>
  <si>
    <t>B200438841</t>
  </si>
  <si>
    <t>B200438844</t>
  </si>
  <si>
    <t>B200438845</t>
  </si>
  <si>
    <t>B200438850</t>
  </si>
  <si>
    <t>B200438852</t>
  </si>
  <si>
    <t>B200438854</t>
  </si>
  <si>
    <t>B200438856</t>
  </si>
  <si>
    <t>B200438858</t>
  </si>
  <si>
    <t>B200438864</t>
  </si>
  <si>
    <t>B200438865</t>
  </si>
  <si>
    <t>B200438866</t>
  </si>
  <si>
    <t>B200438871</t>
  </si>
  <si>
    <t>B200438876</t>
  </si>
  <si>
    <t>B200438879</t>
  </si>
  <si>
    <t>B200438882</t>
  </si>
  <si>
    <t>B200438883</t>
  </si>
  <si>
    <t>B200438890</t>
  </si>
  <si>
    <t>B200438891</t>
  </si>
  <si>
    <t>B200438894</t>
  </si>
  <si>
    <t>B200438895</t>
  </si>
  <si>
    <t>B200438905</t>
  </si>
  <si>
    <t>B200438909</t>
  </si>
  <si>
    <t>B200438915</t>
  </si>
  <si>
    <t>B200438918</t>
  </si>
  <si>
    <t>B200438919</t>
  </si>
  <si>
    <t>B200438921</t>
  </si>
  <si>
    <t>B200438922</t>
  </si>
  <si>
    <t>B200438936</t>
  </si>
  <si>
    <t>B200438938</t>
  </si>
  <si>
    <t>B200438942</t>
  </si>
  <si>
    <t>B200438945</t>
  </si>
  <si>
    <t>B200438947</t>
  </si>
  <si>
    <t>B200438949</t>
  </si>
  <si>
    <t>B200438951</t>
  </si>
  <si>
    <t>B200438952</t>
  </si>
  <si>
    <t>B200438955</t>
  </si>
  <si>
    <t>B200438963</t>
  </si>
  <si>
    <t>B200438965</t>
  </si>
  <si>
    <t>B200438967</t>
  </si>
  <si>
    <t>B200438968</t>
  </si>
  <si>
    <t>B200438975</t>
  </si>
  <si>
    <t>B200438976</t>
  </si>
  <si>
    <t>B200438979</t>
  </si>
  <si>
    <t>B200438981</t>
  </si>
  <si>
    <t>B200438984</t>
  </si>
  <si>
    <t>B200438989</t>
  </si>
  <si>
    <t>B200438990</t>
  </si>
  <si>
    <t>B200438994</t>
  </si>
  <si>
    <t>B200438995</t>
  </si>
  <si>
    <t>B200438997</t>
  </si>
  <si>
    <t>B200439001</t>
  </si>
  <si>
    <t>B200439002</t>
  </si>
  <si>
    <t>B200439012</t>
  </si>
  <si>
    <t>B200439018</t>
  </si>
  <si>
    <t>B200439021</t>
  </si>
  <si>
    <t>B200439022</t>
  </si>
  <si>
    <t>B200439026</t>
  </si>
  <si>
    <t>B200439027</t>
  </si>
  <si>
    <t>B200439028</t>
  </si>
  <si>
    <t>B200439029</t>
  </si>
  <si>
    <t>B200439031</t>
  </si>
  <si>
    <t>B200439032</t>
  </si>
  <si>
    <t>B200439038</t>
  </si>
  <si>
    <t>B200439052</t>
  </si>
  <si>
    <t>B200439053</t>
  </si>
  <si>
    <t>B200439056</t>
  </si>
  <si>
    <t>B200439057</t>
  </si>
  <si>
    <t>B200439058</t>
  </si>
  <si>
    <t>B200439068</t>
  </si>
  <si>
    <t>B200439069</t>
  </si>
  <si>
    <t>B200439077</t>
  </si>
  <si>
    <t>B200439086</t>
  </si>
  <si>
    <t>B200439088</t>
  </si>
  <si>
    <t>B200439093</t>
  </si>
  <si>
    <t>B200439095</t>
  </si>
  <si>
    <t>B200439096</t>
  </si>
  <si>
    <t>B200439101</t>
  </si>
  <si>
    <t>B200439111</t>
  </si>
  <si>
    <t>B200439112</t>
  </si>
  <si>
    <t>B200439114</t>
  </si>
  <si>
    <t>B200439115</t>
  </si>
  <si>
    <t>B200439119</t>
  </si>
  <si>
    <t>B200439120</t>
  </si>
  <si>
    <t>B200439130</t>
  </si>
  <si>
    <t>B200439133</t>
  </si>
  <si>
    <t>B200439134</t>
  </si>
  <si>
    <t>B200439137</t>
  </si>
  <si>
    <t>B200439140</t>
  </si>
  <si>
    <t>B200439144</t>
  </si>
  <si>
    <t>B200439145</t>
  </si>
  <si>
    <t>B200439148</t>
  </si>
  <si>
    <t>B200439149</t>
  </si>
  <si>
    <t>B200439152</t>
  </si>
  <si>
    <t>B200439154</t>
  </si>
  <si>
    <t>B200439156</t>
  </si>
  <si>
    <t>B200439161</t>
  </si>
  <si>
    <t>B200439162</t>
  </si>
  <si>
    <t>B200439164</t>
  </si>
  <si>
    <t>B200439165</t>
  </si>
  <si>
    <t>B200439166</t>
  </si>
  <si>
    <t>B200439172</t>
  </si>
  <si>
    <t>B200439177</t>
  </si>
  <si>
    <t>B200439180</t>
  </si>
  <si>
    <t>8/28/2025</t>
  </si>
  <si>
    <t>8/20/2025</t>
  </si>
  <si>
    <t>8/15/2025</t>
  </si>
  <si>
    <t>8/17/2025</t>
  </si>
  <si>
    <t>8/29/2025</t>
  </si>
  <si>
    <t>8/19/2025</t>
  </si>
  <si>
    <t>8/16/2025</t>
  </si>
  <si>
    <t>8/18/2025</t>
  </si>
  <si>
    <t>8/22/2025</t>
  </si>
  <si>
    <t>8/26/2025</t>
  </si>
  <si>
    <t>8/31/2025</t>
  </si>
  <si>
    <t>8/27/2025</t>
  </si>
  <si>
    <t>8/25/2025</t>
  </si>
  <si>
    <t>8/23/2025</t>
  </si>
  <si>
    <t>8/21/2025</t>
  </si>
  <si>
    <t>2909 N SHERIDAN RD</t>
  </si>
  <si>
    <t>2711 S TRUMBULL AVE</t>
  </si>
  <si>
    <t>10421 S CHURCH ST</t>
  </si>
  <si>
    <t>1132 N LECLAIRE AVE</t>
  </si>
  <si>
    <t>2451 N MILWAUKEE AVE</t>
  </si>
  <si>
    <t>2003 S ASHLAND AVE</t>
  </si>
  <si>
    <t>7646 S INGLESIDE AVE</t>
  </si>
  <si>
    <t>810 E 79TH ST</t>
  </si>
  <si>
    <t>4443 N MULLIGAN AVE</t>
  </si>
  <si>
    <t>8354 S ANTHONY AVE</t>
  </si>
  <si>
    <t>1511 N LINDER AVE</t>
  </si>
  <si>
    <t>3408 N GREENVIEW AVE</t>
  </si>
  <si>
    <t>4332 N PAULINA ST</t>
  </si>
  <si>
    <t>8300 S MAY ST</t>
  </si>
  <si>
    <t>3407 S ABERDEEN ST</t>
  </si>
  <si>
    <t>3530 N LINCOLN AVE</t>
  </si>
  <si>
    <t>3542 W SUNNYSIDE AVE</t>
  </si>
  <si>
    <t>4407 S WOLCOTT AVE</t>
  </si>
  <si>
    <t>9935 S PROSPECT AVE</t>
  </si>
  <si>
    <t>3628 W 68TH ST</t>
  </si>
  <si>
    <t>6123 S MONITOR AVE</t>
  </si>
  <si>
    <t>8116 S FAIRFIELD AVE</t>
  </si>
  <si>
    <t>7712 W NORTH SHORE AVE</t>
  </si>
  <si>
    <t>3647 W 85TH ST</t>
  </si>
  <si>
    <t>5644 S NEWLAND AVE</t>
  </si>
  <si>
    <t>4525 S SPAULDING AVE</t>
  </si>
  <si>
    <t>4438 N WHIPPLE ST</t>
  </si>
  <si>
    <t>11030 S RIDGEWAY AVE</t>
  </si>
  <si>
    <t>2736 W BERWYN AVE</t>
  </si>
  <si>
    <t>8909 S EAST END AVE</t>
  </si>
  <si>
    <t>10614 S EBERHART AVE</t>
  </si>
  <si>
    <t>10800 S HALE AVE</t>
  </si>
  <si>
    <t>2403 N OAKLEY AVE</t>
  </si>
  <si>
    <t>5438 S RIDGEWOOD CT</t>
  </si>
  <si>
    <t>4018 N SACRAMENTO AVE</t>
  </si>
  <si>
    <t>1539 N MAYFIELD AVE</t>
  </si>
  <si>
    <t>850 N LAKE SHORE DR</t>
  </si>
  <si>
    <t>191 N WACKER DR</t>
  </si>
  <si>
    <t>5100 N NASHVILLE AVE</t>
  </si>
  <si>
    <t>2214 W BARRY AVE</t>
  </si>
  <si>
    <t>10512 S AVENUE M</t>
  </si>
  <si>
    <t>450 W BRIAR PL</t>
  </si>
  <si>
    <t>7415 N DAMEN AVE</t>
  </si>
  <si>
    <t>2000 W FARGO AVE</t>
  </si>
  <si>
    <t>7405 N DAMEN AVE</t>
  </si>
  <si>
    <t>1625 N LONG AVE</t>
  </si>
  <si>
    <t>2925 N LINDER AVE</t>
  </si>
  <si>
    <t>5131 W ROSCOE ST</t>
  </si>
  <si>
    <t>4033 W CRYSTAL ST</t>
  </si>
  <si>
    <t>5700 S CICERO AVE</t>
  </si>
  <si>
    <t>1735 N PAULINA ST</t>
  </si>
  <si>
    <t>2210 N KARLOV AVE</t>
  </si>
  <si>
    <t>1954 E 79TH ST</t>
  </si>
  <si>
    <t>5650 W DIVERSEY AVE</t>
  </si>
  <si>
    <t>2937 N MOBILE AVE</t>
  </si>
  <si>
    <t>1406 N ASTOR ST</t>
  </si>
  <si>
    <t>2310 W NELSON ST</t>
  </si>
  <si>
    <t>6554 S BELL AVE</t>
  </si>
  <si>
    <t>5101 S LARAMIE AVE</t>
  </si>
  <si>
    <t>1100 N RIDGEWAY AVE</t>
  </si>
  <si>
    <t>9438 S PARNELL AVE</t>
  </si>
  <si>
    <t>1647 W 93RD ST</t>
  </si>
  <si>
    <t>8105 S ADA ST</t>
  </si>
  <si>
    <t>9717 S DAMEN AVE</t>
  </si>
  <si>
    <t>4460 N SPRINGFIELD AVE</t>
  </si>
  <si>
    <t>5632 S TRUMBULL AVE</t>
  </si>
  <si>
    <t>511 W ALDINE AVE</t>
  </si>
  <si>
    <t>5344 S NEWLAND AVE</t>
  </si>
  <si>
    <t>3649 N CLAREMONT AVE</t>
  </si>
  <si>
    <t>3622 N OSCEOLA AVE</t>
  </si>
  <si>
    <t>4743 W DEMING PL</t>
  </si>
  <si>
    <t>1655 E 84TH PL</t>
  </si>
  <si>
    <t>1722 N LINDER AVE</t>
  </si>
  <si>
    <t>1132 N LEAMINGTON AVE</t>
  </si>
  <si>
    <t>6638 N OLMSTED AVE</t>
  </si>
  <si>
    <t>5000 W WINONA ST</t>
  </si>
  <si>
    <t>6439 N TALMAN AVE</t>
  </si>
  <si>
    <t>542 W HOBBIE ST</t>
  </si>
  <si>
    <t>3636 W WOLFRAM ST</t>
  </si>
  <si>
    <t>7507 N CLARK ST</t>
  </si>
  <si>
    <t>2839 N HAMLIN AVE</t>
  </si>
  <si>
    <t>62 E JACKSON BLVD</t>
  </si>
  <si>
    <t>2235 W 74TH ST</t>
  </si>
  <si>
    <t>5722 S PULASKI RD</t>
  </si>
  <si>
    <t>8233 S BUFFALO AVE</t>
  </si>
  <si>
    <t>1140 W PRATT BLVD</t>
  </si>
  <si>
    <t>4040 S RICHMOND ST</t>
  </si>
  <si>
    <t>2855 W HARRISON ST</t>
  </si>
  <si>
    <t>6024 S PRINCETON AVE</t>
  </si>
  <si>
    <t>235 N ARTESIAN AVE</t>
  </si>
  <si>
    <t>2332 W CERMAK RD</t>
  </si>
  <si>
    <t>6807 N WAYNE AVE</t>
  </si>
  <si>
    <t>6625 N GLENWOOD AVE</t>
  </si>
  <si>
    <t>9102 S NORMAL AVE</t>
  </si>
  <si>
    <t>1336 N ROCKWELL ST</t>
  </si>
  <si>
    <t>268 W 23RD ST</t>
  </si>
  <si>
    <t>2746 W FULLERTON AVE</t>
  </si>
  <si>
    <t>6200 S ADA ST</t>
  </si>
  <si>
    <t>2342 N ROCKWELL ST</t>
  </si>
  <si>
    <t>5501 W FULLERTON AVE</t>
  </si>
  <si>
    <t>11400 S NORMAL AVE</t>
  </si>
  <si>
    <t>1914 N OAK PARK AVE</t>
  </si>
  <si>
    <t>1736 E 92ND PL</t>
  </si>
  <si>
    <t>3748 W 75TH PL</t>
  </si>
  <si>
    <t>4449 N CHRISTIANA AVE</t>
  </si>
  <si>
    <t>5800 N RIDGE AVE</t>
  </si>
  <si>
    <t>1430 S MICHIGAN AVE</t>
  </si>
  <si>
    <t>4627 S LARAMIE AVE</t>
  </si>
  <si>
    <t>2901 W 73RD ST</t>
  </si>
  <si>
    <t>3356 N NEW ENGLAND AVE</t>
  </si>
  <si>
    <t>4030 N MASON AVE</t>
  </si>
  <si>
    <t>7513 N SHERIDAN RD</t>
  </si>
  <si>
    <t>195 N HARBOR DR</t>
  </si>
  <si>
    <t>4620 S WOODLAWN AVE</t>
  </si>
  <si>
    <t>11531 S LAFLIN ST</t>
  </si>
  <si>
    <t>9702 S LAFAYETTE AVE</t>
  </si>
  <si>
    <t>9634 S GENOA AVE</t>
  </si>
  <si>
    <t>1050 W FOSTER AVE</t>
  </si>
  <si>
    <t>700 N NOBLE ST</t>
  </si>
  <si>
    <t>9034 S RIDGELAND AVE</t>
  </si>
  <si>
    <t>7059 S SOUTH SHORE DR</t>
  </si>
  <si>
    <t>2248 W FARWELL AVE</t>
  </si>
  <si>
    <t>2840 N LINCOLN AVE</t>
  </si>
  <si>
    <t>4607 N SHERIDAN RD</t>
  </si>
  <si>
    <t>605 N MICHIGAN AVE</t>
  </si>
  <si>
    <t>3510 N OKETO AVE</t>
  </si>
  <si>
    <t>4343 S CHRISTIANA AVE</t>
  </si>
  <si>
    <t>3719 N BELL AVE</t>
  </si>
  <si>
    <t>1927 N SEDGWICK ST</t>
  </si>
  <si>
    <t>5050 N SHERIDAN RD</t>
  </si>
  <si>
    <t>2138 W 107TH PL</t>
  </si>
  <si>
    <t>7646 S INDIANA AVE</t>
  </si>
  <si>
    <t>1520 N SEDGWICK ST</t>
  </si>
  <si>
    <t>1133 S MONITOR AVE</t>
  </si>
  <si>
    <t>1154 E 49TH ST</t>
  </si>
  <si>
    <t>3127 N OSCEOLA AVE</t>
  </si>
  <si>
    <t>5531 W WARWICK AVE</t>
  </si>
  <si>
    <t>7959 S ARTESIAN AVE</t>
  </si>
  <si>
    <t>4114 W 56TH PL</t>
  </si>
  <si>
    <t>4204 N GREENVIEW AVE</t>
  </si>
  <si>
    <t>1347 E HYDE PARK BLVD</t>
  </si>
  <si>
    <t>4235 S RICHMOND ST</t>
  </si>
  <si>
    <t>6521 S CLAREMONT AVE</t>
  </si>
  <si>
    <t>1240 W HURON ST</t>
  </si>
  <si>
    <t>345 N MORGAN ST</t>
  </si>
  <si>
    <t>2844 W 25TH PL</t>
  </si>
  <si>
    <t>6418 S NORMAL BLVD</t>
  </si>
  <si>
    <t>10151 S ABERDEEN ST</t>
  </si>
  <si>
    <t>2936 W 86TH ST</t>
  </si>
  <si>
    <t>9440 S VINCENNES AVE</t>
  </si>
  <si>
    <t>425 W ALDINE AVE</t>
  </si>
  <si>
    <t>2947 N MENARD AVE</t>
  </si>
  <si>
    <t>5455 N SHERIDAN RD</t>
  </si>
  <si>
    <t>4549 N CENTRAL AVE</t>
  </si>
  <si>
    <t>2927 N ELSTON AVE</t>
  </si>
  <si>
    <t>5742 S WOLCOTT AVE</t>
  </si>
  <si>
    <t>424 N LAWLER AVE</t>
  </si>
  <si>
    <t>2118 W BERWYN AVE</t>
  </si>
  <si>
    <t>10450 S AVENUE L</t>
  </si>
  <si>
    <t>9115 S MAY ST</t>
  </si>
  <si>
    <t>11118 S AVENUE C</t>
  </si>
  <si>
    <t>912 S CARPENTER ST</t>
  </si>
  <si>
    <t>4623 N MELVINA AVE</t>
  </si>
  <si>
    <t>1422 E 67TH PL</t>
  </si>
  <si>
    <t>10504 S THROOP ST</t>
  </si>
  <si>
    <t>807 W 14TH PL</t>
  </si>
  <si>
    <t>4542 N CENTRAL PARK AVE</t>
  </si>
  <si>
    <t>3501 W 77TH PL</t>
  </si>
  <si>
    <t>1813 N LAWNDALE AVE</t>
  </si>
  <si>
    <t>5135 W BYRON ST</t>
  </si>
  <si>
    <t>2754 W BERWYN AVE</t>
  </si>
  <si>
    <t>6168 N RAVENSWOOD AVE</t>
  </si>
  <si>
    <t>10110 S RHODES AVE</t>
  </si>
  <si>
    <t>5531 W HUTCHINSON ST</t>
  </si>
  <si>
    <t>1 N WACKER DR</t>
  </si>
  <si>
    <t>1539 W PEARSON ST</t>
  </si>
  <si>
    <t>1836 W FARWELL AVE</t>
  </si>
  <si>
    <t>3531 N HOYNE AVE</t>
  </si>
  <si>
    <t>12 E SCOTT ST</t>
  </si>
  <si>
    <t>4343 W OHIO ST</t>
  </si>
  <si>
    <t>2678 W WASHINGTON BLVD</t>
  </si>
  <si>
    <t>10441 S AVENUE J</t>
  </si>
  <si>
    <t>CHICAGO, IL</t>
  </si>
  <si>
    <t>2909 N. SHERIDAN CONDO ASSOC</t>
  </si>
  <si>
    <t>BARRERA CELIA</t>
  </si>
  <si>
    <t>NOVOTNY ANNIE</t>
  </si>
  <si>
    <t>DAVIS SPENCER</t>
  </si>
  <si>
    <t>MARTINEZ LUIS</t>
  </si>
  <si>
    <t>THE RESURRECTION PROJECT</t>
  </si>
  <si>
    <t>7646 S INGLESIDE AVE LLC</t>
  </si>
  <si>
    <t>WSHAH QUSAI</t>
  </si>
  <si>
    <t>RADCLIFFE DOROTHEA</t>
  </si>
  <si>
    <t>GIBSON DON</t>
  </si>
  <si>
    <t>VIKO CONSTRUCTION LLC</t>
  </si>
  <si>
    <t>SCIANNA JAMES T</t>
  </si>
  <si>
    <t>CHICAGO PUBLIC SCHOOLS</t>
  </si>
  <si>
    <t>RICCORDINO REALTY</t>
  </si>
  <si>
    <t>STANFORD JASON</t>
  </si>
  <si>
    <t>STINTON JOSEPH</t>
  </si>
  <si>
    <t>TABOR CHURCH</t>
  </si>
  <si>
    <t>CAMPOS MERCEDES</t>
  </si>
  <si>
    <t>JORDAN RICHARD</t>
  </si>
  <si>
    <t>CASTRO NOEL</t>
  </si>
  <si>
    <t>AGUADO MICHAEL</t>
  </si>
  <si>
    <t>BLACKMON SHANITHA</t>
  </si>
  <si>
    <t>FLAHERTY DEE</t>
  </si>
  <si>
    <t>ENRIQUEZ YESENIA</t>
  </si>
  <si>
    <t>IULIANO ANTHONY</t>
  </si>
  <si>
    <t>MEZA RUBEN</t>
  </si>
  <si>
    <t>ZEIGLER GRACE</t>
  </si>
  <si>
    <t>DALY DANIEL</t>
  </si>
  <si>
    <t>DONAKOWSKI ANDREW</t>
  </si>
  <si>
    <t>DONALDSON SYLVESTER</t>
  </si>
  <si>
    <t>LEWIS MARLON</t>
  </si>
  <si>
    <t>DRAKE JASON</t>
  </si>
  <si>
    <t>KLEIN III WALTER</t>
  </si>
  <si>
    <t>RUDMAN DRAGICA</t>
  </si>
  <si>
    <t>ANDRONIC BRIAN</t>
  </si>
  <si>
    <t>LOPEZ VERONICA</t>
  </si>
  <si>
    <t>850 NORTH LAKESHORE PROPERTY, LLC</t>
  </si>
  <si>
    <t>MANULIFE INVESTMENT MANAGEMENT</t>
  </si>
  <si>
    <t>PHILLIPS FERGAL</t>
  </si>
  <si>
    <t>CITY OF CHICAGO - DEPARTMENT OF FLEET AND FACILITY</t>
  </si>
  <si>
    <t>JIMENEZ RAFAEL</t>
  </si>
  <si>
    <t>THE BUILDING GROUP</t>
  </si>
  <si>
    <t>ROGERS PARK 1 HOLDINGS LLC</t>
  </si>
  <si>
    <t>RODRIGUEZ MARIBEL</t>
  </si>
  <si>
    <t>MOYETT GEORGE</t>
  </si>
  <si>
    <t>MORENO BLAD</t>
  </si>
  <si>
    <t>GUZ KENYA</t>
  </si>
  <si>
    <t>MIDWAY AIRLINES TERMINAL CORPORATION</t>
  </si>
  <si>
    <t>KAPITAL ELECTRIC CO., INC</t>
  </si>
  <si>
    <t>PERLMAN JEFFREY</t>
  </si>
  <si>
    <t>SIMS WILLIE</t>
  </si>
  <si>
    <t>ARGUELLO DIONICIO</t>
  </si>
  <si>
    <t>VELAZQUEZ GOMER</t>
  </si>
  <si>
    <t>LYON DONNA</t>
  </si>
  <si>
    <t>RODRIGUEZ JESSENIA</t>
  </si>
  <si>
    <t>GARCIA YOLANDA</t>
  </si>
  <si>
    <t>HUANTE MARIO</t>
  </si>
  <si>
    <t>FOX JAMES</t>
  </si>
  <si>
    <t>PENNAMON PAMELA</t>
  </si>
  <si>
    <t>RUSHER THOMAS</t>
  </si>
  <si>
    <t>GARRISON ROSEMARY</t>
  </si>
  <si>
    <t>O'DONNELL JR. JOHN</t>
  </si>
  <si>
    <t>ROBERTSON LINDA</t>
  </si>
  <si>
    <t>ROMERO FIDEL</t>
  </si>
  <si>
    <t>ALDINE COURT CONDOMINIUM</t>
  </si>
  <si>
    <t>MARK MICHALSKI</t>
  </si>
  <si>
    <t>KOLB KEVIN</t>
  </si>
  <si>
    <t>ORELLANA EDWIN</t>
  </si>
  <si>
    <t>THOMAS DEBRA</t>
  </si>
  <si>
    <t>TURNBOUGH JESTINE</t>
  </si>
  <si>
    <t>MAGDAN CONSTRUCTION INC</t>
  </si>
  <si>
    <t>KORDIS JAMES</t>
  </si>
  <si>
    <t>EDISON PARK CHAMBER OF COMMERCE</t>
  </si>
  <si>
    <t>SINGH CALVIN</t>
  </si>
  <si>
    <t>SWANSON RICHARD</t>
  </si>
  <si>
    <t>ARNOLD JOHN</t>
  </si>
  <si>
    <t>MENDEZ FRANCISCO</t>
  </si>
  <si>
    <t>ASHKENAZY AQUISITION CORP</t>
  </si>
  <si>
    <t>MAESTRO JOSEPH</t>
  </si>
  <si>
    <t>STANDARD FOODS</t>
  </si>
  <si>
    <t>T-MOBILE</t>
  </si>
  <si>
    <t>KARR INSURANCE</t>
  </si>
  <si>
    <t>RAINEY WILLIE</t>
  </si>
  <si>
    <t>PRATT DU LAC CONDO ASSOC</t>
  </si>
  <si>
    <t>GALVEZ GILBERTO</t>
  </si>
  <si>
    <t>MITCHELL ETELY</t>
  </si>
  <si>
    <t>QUARTERMAN ANTHONY</t>
  </si>
  <si>
    <t>VK 235 ARTESIAN LLC</t>
  </si>
  <si>
    <t>COMAR PROPERTIES, INC.</t>
  </si>
  <si>
    <t>MCCULLOUGH GEORGE</t>
  </si>
  <si>
    <t>6625-27 N. GLENWOOD CONDOMINIUM ASSOC.</t>
  </si>
  <si>
    <t>MORGAN ESTHERINE</t>
  </si>
  <si>
    <t>NWAFOR JOLINE</t>
  </si>
  <si>
    <t>LEE KEVIN</t>
  </si>
  <si>
    <t>YOUNG ERIC</t>
  </si>
  <si>
    <t>JURENKA DAVID</t>
  </si>
  <si>
    <t>COOK COUNTY HEALTH</t>
  </si>
  <si>
    <t>CRAIG NIAGARA</t>
  </si>
  <si>
    <t>VELA-MENDOZA ALLISON</t>
  </si>
  <si>
    <t>VALENCIA BREANA</t>
  </si>
  <si>
    <t>WRIGHT DAVID</t>
  </si>
  <si>
    <t>HANSON JULIE</t>
  </si>
  <si>
    <t>AZAS LLC</t>
  </si>
  <si>
    <t>MICHIGAN AVENUE GARDEN TERRACE CONDOMINIUM ASSO</t>
  </si>
  <si>
    <t>RICHARDSON ANTHONY</t>
  </si>
  <si>
    <t>VILLAVERDE DANIEL</t>
  </si>
  <si>
    <t>CALLE ROSA</t>
  </si>
  <si>
    <t>MASON JESSICA</t>
  </si>
  <si>
    <t>PEHAR ANTE</t>
  </si>
  <si>
    <t>KIRCHNER JAMES</t>
  </si>
  <si>
    <t>MILLER DORIANE</t>
  </si>
  <si>
    <t>VILLASENOR CARLOS</t>
  </si>
  <si>
    <t>JERNEGONS ANTIONETTE</t>
  </si>
  <si>
    <t>BELLO ADEKUNBI</t>
  </si>
  <si>
    <t>COOPER SETH</t>
  </si>
  <si>
    <t>TRIBUZIO MICHAEL</t>
  </si>
  <si>
    <t>BUFFORD TAMISH</t>
  </si>
  <si>
    <t>SOUTH SHORE CULTURAL CENTER</t>
  </si>
  <si>
    <t>HUNTER PROPERTIES</t>
  </si>
  <si>
    <t>YANG QIFAN</t>
  </si>
  <si>
    <t>FIORITO DAN</t>
  </si>
  <si>
    <t>NORTH AMERICAN REAL ESTATE</t>
  </si>
  <si>
    <t>MADDOX KENYATA</t>
  </si>
  <si>
    <t>WU HAI</t>
  </si>
  <si>
    <t>LINQUIST CHRIS</t>
  </si>
  <si>
    <t>CHESNEY CRAIG</t>
  </si>
  <si>
    <t>HORIZON REALTY GROUP</t>
  </si>
  <si>
    <t>SUTKER SCOTT</t>
  </si>
  <si>
    <t>MOTLEY QUAINTANCE</t>
  </si>
  <si>
    <t>NURTURE BEAUTY LLC</t>
  </si>
  <si>
    <t>BRINSON EARLINE</t>
  </si>
  <si>
    <t>UTEG DONALD</t>
  </si>
  <si>
    <t>CALDERON FORTUNATA</t>
  </si>
  <si>
    <t>GUZMAN RAFAEL</t>
  </si>
  <si>
    <t>GONZALEZ JORGE</t>
  </si>
  <si>
    <t>FRANCIS LEE</t>
  </si>
  <si>
    <t>ETTINGER REALTY, LTD.</t>
  </si>
  <si>
    <t>HERRERA HERIBERTO</t>
  </si>
  <si>
    <t>LEWIS FLOYD</t>
  </si>
  <si>
    <t>BECKORD SCOTT</t>
  </si>
  <si>
    <t>BAY STERLING</t>
  </si>
  <si>
    <t>LADB 19 LLC</t>
  </si>
  <si>
    <t>MANET MABINTY</t>
  </si>
  <si>
    <t>HOOD EDWARD</t>
  </si>
  <si>
    <t>PERKINS MINNIE</t>
  </si>
  <si>
    <t>OAKDALE COVENANAT CHURCH</t>
  </si>
  <si>
    <t>KASEMSARN RICHARD</t>
  </si>
  <si>
    <t>ROSCA GEORGE</t>
  </si>
  <si>
    <t>GABRIEL MARY</t>
  </si>
  <si>
    <t>JEFFERSON COURT TOWNHOME ASSOCIATION</t>
  </si>
  <si>
    <t>TRAN CARLOS</t>
  </si>
  <si>
    <t>LEE DORIS</t>
  </si>
  <si>
    <t>WALKER CHIKOSI</t>
  </si>
  <si>
    <t>WERESZCZYNSKI JEFF</t>
  </si>
  <si>
    <t>MILLER KIMBERLY</t>
  </si>
  <si>
    <t>CARRERO WILLIAM</t>
  </si>
  <si>
    <t>ALL ELITE CONTRACTOR LLC</t>
  </si>
  <si>
    <t>BOROWITZ JENNIFER</t>
  </si>
  <si>
    <t>SMITH DARRELL</t>
  </si>
  <si>
    <t>GORDON CHARLES</t>
  </si>
  <si>
    <t>PATTERSON JAMES</t>
  </si>
  <si>
    <t>807 W. 14TH CONDO ASSOCIATION</t>
  </si>
  <si>
    <t>YOUNG-VILLA RUTH</t>
  </si>
  <si>
    <t>HERNAND JAVIER</t>
  </si>
  <si>
    <t>SANTOS STEVENSON</t>
  </si>
  <si>
    <t>NUNEZ JACQUES</t>
  </si>
  <si>
    <t>WOLDEGEBRIEL FELASFAW</t>
  </si>
  <si>
    <t>SMITH MELANIE</t>
  </si>
  <si>
    <t>GRAHAM JOE</t>
  </si>
  <si>
    <t>ZUZEK MILAN</t>
  </si>
  <si>
    <t>GONZALEZ FRANK V</t>
  </si>
  <si>
    <t>NOSEK JASON</t>
  </si>
  <si>
    <t>MAUDLIN OLIVER</t>
  </si>
  <si>
    <t>NIKEZIC MICKEY</t>
  </si>
  <si>
    <t>4343 W OHIO LLC</t>
  </si>
  <si>
    <t>CHICAGO TITLE LAND TRUST CO. TRUST NO. 8002392671</t>
  </si>
  <si>
    <t>FABING THOMAS</t>
  </si>
  <si>
    <t>TUCKPOINTING AND UNIT MASONRY REPAIR / REPLACEMENT: 9200 SQ. FT., LINTEL QTY. 0, MAX. LENGTH 0. LOCATION: ALL ELEVATIONS.</t>
  </si>
  <si>
    <t>LINE VOLTAGE ELECTRICAL WORK. NEW PERMANENT 200 AMP SERVICE DISCONNECTING MEANS WITH 3 CIRCUITS. NEW PERMANENT 200 AMP SERVICE DISCONNECTING MEANS WITH 3 CIRCUITS. RECEPTACLE OUTLETS: 1 . LIGHTING OUTLETS: 0. SPECIFIC LOCATION: METER AND SERVICE PANEL UPGRADE.</t>
  </si>
  <si>
    <t>PURPOSE: LEGALIZE UNPERMITTED WORK. WOOD FENCE - 6'-0' ' (HEIGHT) X 190'-0' ' (LENGTH). LOCATION: SIDE YARD.</t>
  </si>
  <si>
    <t>REPAIR OR IN-KIND REPLACEMENT OF 0 PLUMBING FIXTURES AS DESCRIBED IN PERMIT APPLICATION.  INCLUDES REPAIR OR REPLACMENT OF PLUMBING PIPING.  LOCATIONS: 1 RESIDENTIAL UNIT(S), 0 NON-RESIDENTIAL UNIT(S), BASEMENT.</t>
  </si>
  <si>
    <t>TUCKPOINTING AND UNIT MASONRY REPAIR / REPLACEMENT: 80 SQ. FT., LINTEL QTY. 0, MAX. LENGTH 0. LOCATION: FACADE.</t>
  </si>
  <si>
    <t>LINE VOLTAGE ELECTRICAL WORK. ALTER EXISTING SYSTEM I EMERGENCY LIGHTING.  RECEPTACLE OUTLETS: 0 . LIGHTING OUTLETS: 0. SPECIFIC LOCATION: BASEMENT, 1ST FLOOR, 2ND FLOOR.</t>
  </si>
  <si>
    <t>LIMITED REPAIR (25% OR LESS) FOR WOOD PORCH (OPEN) (QUANTITY: 2, LOCATION: NORTH SIDE OF BUILDING). LIMITED REPAIR (25% OR LESS) FOR WOOD PORCH (OPEN) (QUANTITY: 2, LOCATION: WEST SIDE OF BUILDING).</t>
  </si>
  <si>
    <t>LINE VOLTAGE ELECTRICAL WORK. NEW PERMANENT 100 AMP SERVICE DISCONNECTING MEANS WITH 30 CIRCUITS. RECEPTACLE OUTLETS: 1 . LIGHTING OUTLETS: 0. SPECIFIC LOCATION: REAR OF BUILDING.</t>
  </si>
  <si>
    <t>PURPOSE: NEW/REPLACEMENT INSTALLATION. WOOD FENCE - 6'-0' ' (HEIGHT) X 66'-0' ' (LENGTH). LOCATION: BACKYARD.</t>
  </si>
  <si>
    <t>LINE VOLTAGE ELECTRICAL WORK. REPAIR OR ALTER DEVICES ON EXISTING CIRCUITS. RECEPTACLE OUTLETS: 2 . LIGHTING OUTLETS: 0. SPECIFIC LOCATION: KITCHEN.</t>
  </si>
  <si>
    <t>DUCTWORK EXTENSION/RECONFIGURATION, REPAIR/REPLACEMENT AFFECTING 2 SYSTEMS :   1 CENTRAL FURNACE(DUCANE,SERIES: 96G1E,90,000 BTU/HR. IMPUT,85,000 BTU/HR. OUTPUT, MECHANICAL ROOM)  1 SPLIT SYSTEM(DUCANE 4AC13B36P-ALD AIR CONDITIONER 3 TON AT EXTERIOR GRADE) . ELECTRICAL WORK UNDER THIS PERMIT = NO . LOCATIONS: 1 RESIDENTIAL UNIT(S), 0 NON-RESIDENTIAL UNIT(S),  BASEMENT MECHANICAL ROOM &amp; RELATED DUCT-WORK.</t>
  </si>
  <si>
    <t>LINE VOLTAGE ELECTRICAL WORK. NEW PERMANENT 400 AMP SERVICE DISCONNECTING MEANS WITH 50 CIRCUITS. RECEPTACLE OUTLETS: 10 . LIGHTING OUTLETS: 10. SPECIFIC LOCATION: NEW 400 AMP SERVICE 3 METER WITH 1 PUBLIC METER.</t>
  </si>
  <si>
    <t>LINE VOLTAGE ELECTRICAL WORK. ADD 6 CIRCUITS TO EXISTING 100 AMP SERVICE DISCONNECTING MEANS. RECEPTACLE OUTLETS: 6 . LIGHTING OUTLETS: 24. SPECIFIC LOCATION: STAGE.</t>
  </si>
  <si>
    <t>REPAIR (26% TO 50%) FOR WOOD PORCH (OPEN) (QUANTITY: 1, LOCATION: REAR OF BUILDING).</t>
  </si>
  <si>
    <t>LINE VOLTAGE ELECTRICAL WORK. ADD 1 CIRCUITS TO EXISTING 200 AMP SERVICE DISCONNECTING MEANS. RECEPTACLE OUTLETS: 1 . LIGHTING OUTLETS: 0. ELECTRIC VEHICLE SUPPLY EQUIPMENT:1 SPACES. SPECIFIC LOCATION: BASEMENT AND GARAGE.</t>
  </si>
  <si>
    <t>LINE VOLTAGE ELECTRICAL WORK. ADD 1 CIRCUITS TO EXISTING 100 AMP SERVICE DISCONNECTING MEANS. RECEPTACLE OUTLETS: 1 . LIGHTING OUTLETS: 0. ELECTRIC VEHICLE SUPPLY EQUIPMENT:1 SPACES. SPECIFIC LOCATION: GARAGE.</t>
  </si>
  <si>
    <t>LINE VOLTAGE ELECTRICAL WORK. ALTER EXISTING SYSTEM II EMERGENCY LIGHTING.  RECEPTACLE OUTLETS: 0 . LIGHTING OUTLETS: 0. SPECIFIC LOCATION: CLASS ROOM 3.</t>
  </si>
  <si>
    <t>ERECT OPEN WROUGHT IRON FENCE (NON-CORRUGATED) - 5'-7' ' (HEIGHT) X 49'-0' ' (LENGTH).LOCATION: FRONT FENCE.</t>
  </si>
  <si>
    <t>LINE VOLTAGE ELECTRICAL WORK. NEW PERMANENT 200 AMP SERVICE DISCONNECTING MEANS WITH 1 CIRCUITS. RECEPTACLE OUTLETS: 1 . LIGHTING OUTLETS: 1. SPECIFIC LOCATION: BASEMENT &amp; BACKYARD.</t>
  </si>
  <si>
    <t>LINE VOLTAGE ELECTRICAL WORK. NEW PERMANENT 100 AMP SERVICE DISCONNECTING MEANS WITH 1 CIRCUITS. RECEPTACLE OUTLETS: 1 . LIGHTING OUTLETS: 0. SPECIFIC LOCATION: BASEMENT AND EXTERIOR.</t>
  </si>
  <si>
    <t>LINE VOLTAGE ELECTRICAL WORK. INSTALL PERMANENT-REQUIRED BY CODE 14 KW OTHER GENERATOR. RECEPTACLE OUTLETS: 0 . LIGHTING OUTLETS: 0. SPECIFIC LOCATION: OUTSIDE.</t>
  </si>
  <si>
    <t>LINE VOLTAGE ELECTRICAL WORK. REPAIR OR ALTER DEVICES ON EXISTING CIRCUITS. RECEPTACLE OUTLETS: 2 . LIGHTING OUTLETS: 1. SPECIFIC LOCATION: INSIDE GARAGE AND REAR EXTERIOR OF HOUSE.</t>
  </si>
  <si>
    <t>SCOPE: ROOF REPLACEMENT. AREA: 3000 SQ. FT. ROOF COVERING: ASPHALT SHINGLES. LOCATION: ROOFING. IL ROOFING CONTRACTOR LICENSE: 104012900.</t>
  </si>
  <si>
    <t>NEW DETACHED WOOD FRAME GARAGE. DIMENSIONS AND SETBACKS PER APPLICATION. BUILDING OUTSIDE DIMENSIONS: 20'-0' ' X30'-0' '. HIP ROOF HEIGHT TO PEAK: 15'-0' '.</t>
  </si>
  <si>
    <t>NEW DETACHED WOOD FRAME GARAGE. DIMENSIONS AND SETBACKS PER APPLICATION. BUILDING OUTSIDE DIMENSIONS: 22'-6' ' X24'-0' '. GABLE ROOF HEIGHT TO PEAK: 15'-0' '.</t>
  </si>
  <si>
    <t>REPAIR OR IN-KIND REPLACEMENT OF 3 PLUMBING FIXTURES AS DESCRIBED IN PERMIT APPLICATION.  INCLUDES REPAIR OR REPLACMENT OF PLUMBING PIPING.  LOCATIONS: 1 RESIDENTIAL UNIT(S), 0 NON-RESIDENTIAL UNIT(S), 2 INTERIOR COMMON AREAS, UNIT #2 2ND FLOOR.</t>
  </si>
  <si>
    <t>SCOPE: ROOF REPLACEMENT. AREA: 1800 SQ. FT. ROOF COVERING: BUILT-UP ROOF. LOCATION: ROOFING. IL ROOFING CONTRACTOR LICENSE: 104012900.</t>
  </si>
  <si>
    <t>INSTALL SOLAR PANELS ON ROOF OF PRINCIPAL BUILDING. ROOF TYPE: SLOPED (2:12 TO 5:12). INVERTER OUTPUT: 10 KW. ARRAY OUTPUT: 12.9 KW.   INCLUDES 13.5 KWH ENERGY STORAGE SYSTEM.  LOCATION: ROOF PLANES OF HOME. ICC DISTRIBUTED GENERATION INSTALLER CERT. #18-0817. | SPECIAL CONDITION: * NEC REFERENCES TO BE OMITTED FROM DRAWINGS, ALL GENERAL ELECTRICAL NOTES SHALL REFERENCE CEC 2018. * REFER TO ELECTRICAL PERMIT B00437638.* ALL EQUIPMENT, CONNECTORS, RACEWAYS, TAPS, MUST BE LISTED AND LABELED FOR USE.</t>
  </si>
  <si>
    <t>TUCKPOINTING AND UNIT MASONRY REPAIR / REPLACEMENT: 6 SQ. FT., LINTEL QTY. 0, MAX. LENGTH 0. LOCATION: CHIMNEY ON ROOF.</t>
  </si>
  <si>
    <t>TUCKPOINTING AND UNIT MASONRY REPAIR / REPLACEMENT: 50 SQ. FT., LINTEL QTY. 0, MAX. LENGTH 0. PARAPET REBUILDING: 456 SQ. FT. LOCATION: PARAPET WALLS &amp; FRONT BALUSTER WALL.</t>
  </si>
  <si>
    <t>NEW DETACHED WOOD FRAME GARAGE. DIMENSIONS AND SETBACKS PER APPLICATION. BUILDING OUTSIDE DIMENSIONS: 22'-0' ' X22'-0' '. HIP ROOF HEIGHT TO PEAK: 13'-0' '.</t>
  </si>
  <si>
    <t>INSTALL SOLAR PANELS ON ROOF OF PRINCIPAL BUILDING. ROOF TYPE: STEEP (&gt;5:12). INVERTER OUTPUT: 10 KW. ARRAY OUTPUT: 9.43 KW.   INCLUDES 13.5 KWH ENERGY STORAGE SYSTEM.  LOCATION: ROOF PLANES OF HOME. ICC DISTRIBUTED GENERATION INSTALLER CERT. #18-0817. | SPECIAL CONDITION: * NEC REFERENCES TO BE OMITTED FROM DRAWINGS, ALL GENERAL ELECTRICAL NOTES SHALL REFERENCE CEC 2018. * REFER TO ELECTRICAL PERMIT B00438058.* ALL EQUIPMENT, CONNECTORS, RACEWAYS, TAPS, MUST BE LISTED AND LABELED FOR USE.</t>
  </si>
  <si>
    <t>SCOPE: ROOF REPLACEMENT. AREA: 1656 SQ. FT. ROOF COVERING: ASPHALT SHINGLES. LOCATION: 10800 S HALE AVE. IL ROOFING CONTRACTOR LICENSE: 104019663.</t>
  </si>
  <si>
    <t>TUCKPOINTING AND UNIT MASONRY REPAIR / REPLACEMENT: 700 SQ. FT., LINTEL QTY. 0, MAX. LENGTH 0. LOCATION: REBUILD RETAINING WALL.</t>
  </si>
  <si>
    <t>SCOPE: ROOF REPLACEMENT. AREA: 2200 SQ. FT. ROOF COVERING: MINERAL - SURFACED ROLL ROOFING. LOCATION: ABOVE 2 UNITS LOCATED AT 5437-5439 S. KENWOOD AVE.. IL ROOFING CONTRACTOR LICENSE: 104011046.</t>
  </si>
  <si>
    <t>WRECK AND REMOVE DETACHED FRAME GARAGE AT REAR OF PROPERTY. LOCATIONS: 1 RESIDENTIAL UNIT(S), 0 NON-RESIDENTIAL UNIT(S), EXTERIOR WORK,</t>
  </si>
  <si>
    <t>TUCKPOINTING AND UNIT MASONRY REPAIR / REPLACEMENT: 350 SQ. FT., LINTEL QTY. 0, MAX. LENGTH 0. LOCATION: FRONT FAÇADE.</t>
  </si>
  <si>
    <t>SCOPE: NONSTRUCTURAL INTERIOR WORK: REPLACE KITCHEN COUNTERTOPS, SINK, AND FAUCET; CONVERT BATHROOM TUB TO SHOWER WITH NEW WALL AND FLOOR TILE, AND INSTALL NEW VANITY COUNTERTOP, SINK, AND FAUCET. LOCATIONS: 1 RESIDENTIAL UNIT(S), 0 NON-RESIDENTIAL UNIT(S), UNIT 503.</t>
  </si>
  <si>
    <t>LOW VOLTAGE/COMMUNICATION ELECTRICAL WORK. INSTALL OTHER. SPECIFIC LOCATION: 28TH FLOOR.</t>
  </si>
  <si>
    <t>SCOPE: ROOF RECOVER. AREA: 2000 SQ. FT. ROOF COVERING: OTHER. LOCATION: ROOF TOP. IL ROOFING CONTRACTOR LICENSE: 104014585.</t>
  </si>
  <si>
    <t>PURPOSE: NEW/REPLACEMENT INSTALLATION. VINYL/PVC FENCE - 6'-0' ' (HEIGHT) X 118'-0' ' (LENGTH). LOCATION: SIDE OF THE PROPERTY.</t>
  </si>
  <si>
    <t>CONCRETE MASONRY REPAIR / REPLACEMNT: 500SQ. FT., EXCAVATION = . LOCATION: FRONT STEPS.</t>
  </si>
  <si>
    <t>SCOPE: ROOF REPLACEMENT. AREA: 125000 SQ. FT. ROOF COVERING: BUILT-UP ROOF. LOCATION: ROOFING. IL ROOFING CONTRACTOR LICENSE: 104014716.</t>
  </si>
  <si>
    <t>SCOPE: ROOF REPLACEMENT. AREA: 150000 SQ. FT. ROOF COVERING: BUILT-UP ROOF. LOCATION: ROOFING. IL ROOFING CONTRACTOR LICENSE: 104014716.</t>
  </si>
  <si>
    <t>REPAIR OR IN-KIND REPLACEMENT OF 1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t>
  </si>
  <si>
    <t>PURPOSE: NEW/REPLACEMENT INSTALLATION. WROUGHT IRON FENCE - 6'-0' ' (HEIGHT) X 150'-0' ' (LENGTH). LOCATION: BACKYARD.</t>
  </si>
  <si>
    <t>INSTALL SOLAR PANELS ON ROOF OF PRINCIPAL BUILDING. ROOF TYPE: SLOPED (2:12 TO 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B200438633.*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</si>
  <si>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LINE VOLTAGE ELECTRICAL WORK. NEW PERMANENT 200 AMP SERVICE DISCONNECTING MEANS WITH 60 CIRCUITS. RECEPTACLE OUTLETS: 1 . LIGHTING OUTLETS: 0. SPECIFIC LOCATION: ELECTRICAL SERVICE.</t>
  </si>
  <si>
    <t>LINE VOLTAGE ELECTRICAL WORK. REPAIR OR ALTER DEVICES ON EXISTING CIRCUITS. RECEPTACLE OUTLETS: 0 . LIGHTING OUTLETS: 35. SPECIFIC LOCATION: ELECTRICAL ROOM AND EXTERIOR LIGHTING. | SPECIAL CONDITION: SITE ADDRESS W/INMIDWAY: 4799 W 54 ST</t>
  </si>
  <si>
    <t>LINE VOLTAGE ELECTRICAL WORK. NEW PERMANENT 100 AMP SERVICE DISCONNECTING MEANS WITH 1 CIRCUITS. RECEPTACLE OUTLETS: 0 . LIGHTING OUTLETS: 1. ELECTRIC VEHICLE SUPPLY EQUIPMENT:1 SPACES. SPECIFIC LOCATION: PRIVATE PARKING GARAGE.</t>
  </si>
  <si>
    <t>NEW DETACHED WOOD FRAME GARAGE. DIMENSIONS AND SETBACKS PER APPLICATION. BUILDING OUTSIDE DIMENSIONS: 20'-0' ' X22'-0' '. GABLE ROOF HEIGHT TO PEAK: 14'-0' '.</t>
  </si>
  <si>
    <t>LINE VOLTAGE ELECTRICAL WORK. REPAIR OR ALTER DEVICES ON EXISTING CIRCUITS. RECEPTACLE OUTLETS: 2 . LIGHTING OUTLETS: 0. SPECIFIC LOCATION: 1954 E 79TH ST STORE.</t>
  </si>
  <si>
    <t>IN-KIND REPLACEMENT OF EXTERIOR WINDOWS AND DOORS IN EXISTING OPENINGS. REPLACEMENT WINDOWS: 10; REPLACEMENT SKYLIGHTS: 0; REPLACEMENT DOORS: 0. AFFECTS: 2 RESIDENTIAL UNIT(S), 0 NON-RESIDENTIAL UNIT(S), LOCATION: SECOND &amp; THIRD FLOORS.</t>
  </si>
  <si>
    <t>NEW DETACHED WOOD FRAME GARAGE. DIMENSIONS AND SETBACKS PER APPLICATION. BUILDING OUTSIDE DIMENSIONS: 24'-0' ' X24'-0' '. HIP ROOF HEIGHT TO PEAK: 14'-0' '.</t>
  </si>
  <si>
    <t>TUCKPOINTING AND UNIT MASONRY REPAIR / REPLACEMENT: 300 SQ. FT., LINTEL QTY. 0, MAX. LENGTH 0. LOCATION: NORTH AND WEST WALL. | SPECIAL CONDITION: NO WORK TO THE FRONT (EAST) ELEVATION. HISTORIC MASONRY UNITS WILL BE SALVAGED TO THE GREATEST EXTENT POSSIBLE. ANY NEW MASONRY REQUIRED TO MATCH HISTORIC LOCATION, DESIGN, AND PATTERN. NEW MORTAR WILL MATCH HISTORIC MORTAR IN COLOR, JOINT PROFILE, TEXTURE, AND STRENGTH/TYPE.</t>
  </si>
  <si>
    <t>SCOPE: ROOF REPLACEMENT. AREA: 9000 SQ. FT. INCLUDES REPAIR/REPLACE OCCUPIABLE ROOF. ROOF COVERING: BUILT-UP ROOF. LOCATION: COMMON ROOFTOP. IL ROOFING CONTRACTOR LICENSE: 104020486.</t>
  </si>
  <si>
    <t>LINE VOLTAGE ELECTRICAL WORK. NEW PERMANENT 200 AMP SERVICE DISCONNECTING MEANS WITH 1 CIRCUITS. RECEPTACLE OUTLETS: 1 . LIGHTING OUTLETS: 0. SPECIFIC LOCATION: BASEMENT, ELECTRICAL ROOM.</t>
  </si>
  <si>
    <t>PURPOSE: NEW/REPLACEMENT INSTALLATION. VINYL/PVC FENCE - 6'-0' ' (HEIGHT) X 30'-0' ' (LENGTH). LOCATION: REPLACING EXISTING FENCE LOCATED ON THE NORTH SIDE.</t>
  </si>
  <si>
    <t>PARAPET REBUILDING: 7 SQ. FT. LOCATION: SOUTH EAST ELEVATION.</t>
  </si>
  <si>
    <t>INSTALL SOLAR PANELS ON ROOF OF PRINCIPAL BUILDING. ROOF TYPE: SLOPED (2:12 TO 5:12). INVERTER OUTPUT: 10 KW. ARRAY OUTPUT: 4.92 KW.   INCLUDES 13.5 KWH ENERGY STORAGE SYSTEM.  LOCATION: ROOF PLANES OF HOME. ICC DISTRIBUTED GENERATION INSTALLER CERT. #18-0817. | SPECIAL CONDITION: * NEC REFERENCES TO BE OMITTED FROM DRAWINGS, ALL GENERAL ELECTRICAL NOTES SHALL REFERENCE CEC 2018. * REFER TO ELECTRICAL PERMIT B200438692.* ALL EQUIPMENT, CONNECTORS, RACEWAYS, TAPS, MUST BE LISTED AND LABELED FOR USE.</t>
  </si>
  <si>
    <t>SCOPE: NONSTRUCTURAL INTERIOR ALTERATION TO PATCH AND INSTALL DRYWALL, REPLACE ELECTRICAL THROUGHOUT WITH 200 AMP SERVICE PANEL, PLUMBING FIXTURES WITH ASSOCIATED PIPING WITHIN SFR. LOCATIONS: 1 RESIDENTIAL UNIT(S), 0 NON-RESIDENTIAL UNIT(S), BASEMENT, 1ST   2ND FLOOR.</t>
  </si>
  <si>
    <t>LINE VOLTAGE ELECTRICAL WORK. NEW PERMANENT 200 AMP SERVICE DISCONNECTING MEANS WITH 10 CIRCUITS. RECEPTACLE OUTLETS: 10 . LIGHTING OUTLETS: 0. SPECIFIC LOCATION: ELECTRICAL SERVICE.</t>
  </si>
  <si>
    <t>LINE VOLTAGE ELECTRICAL WORK. NEW PERMANENT 100 AMP SERVICE DISCONNECTING MEANS WITH 10 CIRCUITS. RECEPTACLE OUTLETS: 10 . LIGHTING OUTLETS: 0. SPECIFIC LOCATION: ELECTRICAL SERVICE.</t>
  </si>
  <si>
    <t>INSTALL SOLAR PANELS ON ROOF OF PRINCIPAL BUILDING. ROOF TYPE: STEEP (&gt;5:12). INVERTER OUTPUT: 0.38 KW. ARRAY OUTPUT: 0.00765 KW.   INCLUDES 20 KWH ENERGY STORAGE SYSTEM.  LOCATION: ROOFTOP. ICC DISTRIBUTED GENERATION INSTALLER CERT. #20-0678. | SPECIAL CONDITION: * NEC REFERENCES TO BE OMITTED FROM DRAWINGS, ALL GENERAL ELECTRICAL NOTES SHALL REFERENCE CEC 2018. * ALL EQUIPMENT, CONNECTORS, RACEWAYS, TAPS, MUST BE LISTED AND LABELED FOR USE.</t>
  </si>
  <si>
    <t>LINE VOLTAGE ELECTRICAL WORK. NEW PERMANENT 100 AMP SERVICE DISCONNECTING MEANS WITH 1 CIRCUITS. RECEPTACLE OUTLETS: 1 . LIGHTING OUTLETS: 0. 13.5 KWH LITHIUM ION ENERGY STORAGE SYSTEM. SPECIFIC LOCATION: EXTERIOR WALL.</t>
  </si>
  <si>
    <t>LINE VOLTAGE ELECTRICAL WORK. ALTER EXISTING SYSTEM III EMERGENCY LIGHTING.  RECEPTACLE OUTLETS: 0 . LIGHTING OUTLETS: 0. SPECIFIC LOCATION: COMMON AREA PORCH.</t>
  </si>
  <si>
    <t>NEW DETACHED WOOD FRAME GARAGE. DIMENSIONS AND SETBACKS PER APPLICATION. BUILDING OUTSIDE DIMENSIONS: 22'-0' ' X22'-0' '. HIP ROOF HEIGHT TO PEAK: 15'-0' '.</t>
  </si>
  <si>
    <t>WRECK AND REMOVE FRAME DETACHED GARAGE (NO REPLACEMENT). LOCATIONS: 1 RESIDENTIAL UNIT(S), 0 NON-RESIDENTIAL UNIT(S), GARAGE.</t>
  </si>
  <si>
    <t>LINE VOLTAGE ELECTRICAL WORK. NEW PERMANENT 125 AMP SERVICE DISCONNECTING MEANS WITH 1 CIRCUITS. RECEPTACLE OUTLETS: 1 . LIGHTING OUTLETS: 0. SPECIFIC LOCATION: ROOF (ROOF MOUNTED SOLAR SYSTEM).</t>
  </si>
  <si>
    <t>LINE VOLTAGE ELECTRICAL WORK. NEW PERMANENT 125 AMP SERVICE DISCONNECTING MEANS WITH 1 CIRCUITS. RECEPTACLE OUTLETS: 1 . LIGHTING OUTLETS: 0. 13.5 KWH LITHIUM ION ENERGY STORAGE SYSTEM. SPECIFIC LOCATION: EXTERIOR, SERVICE CONDUCTOR, METER.</t>
  </si>
  <si>
    <t>LINE VOLTAGE ELECTRICAL WORK. NEW PERMANENT 100 AMP SERVICE DISCONNECTING MEANS WITH 1 CIRCUITS. RECEPTACLE OUTLETS: 1 . LIGHTING OUTLETS: 0. 13.5 KWH LITHIUM ION ENERGY STORAGE SYSTEM. SPECIFIC LOCATION: EXTERIOR WALL, SERVICE CONDUCTOR.</t>
  </si>
  <si>
    <t>SCOPE: ROOF REPLACEMENT. AREA: 1200 SQ. FT. ROOF COVERING: BUILT-UP ROOF. LOCATION: ROOF REPLACEMENT DUE TO INSUFFICIENT INSULATION. IL ROOFING CONTRACTOR LICENSE: 104016500.</t>
  </si>
  <si>
    <t>LINE VOLTAGE ELECTRICAL WORK. NEW PERMANENT 225 AMP SERVICE DISCONNECTING MEANS WITH 1 CIRCUITS. RECEPTACLE OUTLETS: 1 . LIGHTING OUTLETS: 0. 13.5 KWH LITHIUM ION ENERGY STORAGE SYSTEM. SPECIFIC LOCATION: EXTRIOR WALL, SERVICE MAST/WEATHERHEAD.</t>
  </si>
  <si>
    <t>LINE VOLTAGE ELECTRICAL WORK. REPAIR OR ALTER DEVICES ON EXISTING CIRCUITS. RECEPTACLE OUTLETS: 1 . LIGHTING OUTLETS: 1. SPECIFIC LOCATION: EDISON PARK STREET FESTIVAL.</t>
  </si>
  <si>
    <t>LINE VOLTAGE ELECTRICAL WORK. NEW PERMANENT 100 AMP SERVICE DISCONNECTING MEANS WITH 1 CIRCUITS. RECEPTACLE OUTLETS: 1 . LIGHTING OUTLETS: 0. 13.5 KWH LITHIUM ION ENERGY STORAGE SYSTEM. SPECIFIC LOCATION: EXTERIOR WALL, SERVICE CONDUCTOR, METER.</t>
  </si>
  <si>
    <t>INSTALL SOLAR PANELS ON ROOF OF PRINCIPAL BUILDING. ROOF TYPE: STEEP (&gt;5:12). INVERTER OUTPUT: 11.5 KW. ARRAY OUTPUT: 0.00792 KW.   INCLUDES 11.5 KWH ENERGY STORAGE SYSTEM.  LOCATION: ROOFTOP. ICC DISTRIBUTED GENERATION INSTALLER CERT. #24-0198.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</si>
  <si>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LINE VOLTAGE ELECTRICAL WORK. NEW PERMANENT 200 AMP SERVICE DISCONNECTING MEANS WITH 40 CIRCUITS. RECEPTACLE OUTLETS: 1 . LIGHTING OUTLETS: 0. SPECIFIC LOCATION: BASEMENT.</t>
  </si>
  <si>
    <t>LINE VOLTAGE ELECTRICAL WORK. NEW PERMANENT 200 AMP SERVICE DISCONNECTING MEANS WITH 1 CIRCUITS. RECEPTACLE OUTLETS: 1 . LIGHTING OUTLETS: 0. SPECIFIC LOCATION: PARKS.</t>
  </si>
  <si>
    <t>LOW VOLTAGE/COMMUNICATION ELECTRICAL WORK. INSTALL DATA/VIDEO. SPECIFIC LOCATION: LOW VOLTAGE CABLING.</t>
  </si>
  <si>
    <t>INSTALL SOLAR PANELS ON ROOF OF PRINCIPAL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(ACCESSORY) PERMIT B200438778. * UNDERGROUND RACEWAY TO BE INSPECTED BY AHJ PRIOR TO COVERING. * ALL EQUIPMENT, CONNECTORS, RACEWAYS, TAPS, MUST BE LISTED AND LABELED FOR USE.</t>
  </si>
  <si>
    <t>SCOPE: NONSTRUCTURAL INTERIOR ALTERATION TO EXISTIGN DUNKIN, INCLUDES REPLACEMENT OF CEILING TILE, WALLS, WALLPAPER, CHAIR RAILS, REPLACEMENT OF EQUIPMENT, MILLWORK AND PLUMBING FIXTURES. LOCATIONS: 0 RESIDENTIAL UNIT(S), 1 NON-RESIDENTIAL UNIT(S), INTERIOR REMODEL OF AN EXISTING DUNKIN.</t>
  </si>
  <si>
    <t>INSTALL SOLAR PANELS ON ROOF OF ACCESSORY BUILDING. ROOF TYPE: SLOPED (2:12 TO 5:12). INVERTER OUTPUT: 0.32 KW. ARRAY OUTPUT: 0.00792 KW.  LOCATION: ROOFTOP. ICC DISTRIBUTED GENERATION INSTALLER CERT. #24-0198. | SPECIAL CONDITION: * NEC REFERENCES TO BE OMITTED FROM DRAWINGS, ALL GENERAL ELECTRICAL NOTES SHALL REFERENCE CEC 2018. * REFER TO ELECTRICAL PERMIT B200438788 AND SOLAR (PRINCIPAL) PERMIT B200438770. * UNDERGROUND RACEWAY TO BE INSPECTED BY AHJ PRIOR TO COVERING. * ALL EQUIPMENT, CONNECTORS, RACEWAYS, TAPS, MUST BE LISTED AND LABELED FOR USE.</t>
  </si>
  <si>
    <t>ALTERATION OF EXISTING COMMUNICATION EQUIPMENT.  ALTERATION OF 0 BOXES AND EQUIPMENT ON 1 TOWERS / STRUCTURES.  LOCATION: EXISTING WIRELESS COMMUNICATION FACILITY.</t>
  </si>
  <si>
    <t>LINE VOLTAGE ELECTRICAL WORK. NEW PERMANENT 24 AMP SERVICE DISCONNECTING MEANS WITH 2 CIRCUITS. RECEPTACLE OUTLETS: 1 . LIGHTING OUTLETS: 0. SPECIFIC LOCATION: SOUTH SIDE OF HOUSE.</t>
  </si>
  <si>
    <t>TUCKPOINTING AND UNIT MASONRY REPAIR / REPLACEMENT: 450 SQ. FT., LINTEL QTY. 0, MAX. LENGTH 0. LOCATION: EAST AND WEST ELEVATIONS.</t>
  </si>
  <si>
    <t>NEW DETACHED WOOD FRAME GARAGE. DIMENSIONS AND SETBACKS PER APPLICATION. BUILDING OUTSIDE DIMENSIONS: 20'-0' ' X22'-0' '. HIP ROOF HEIGHT TO PEAK: 13'-0' '.</t>
  </si>
  <si>
    <t>TUCKPOINTING AND UNIT MASONRY REPAIR / REPLACEMENT: 320 SQ. FT., LINTEL QTY. 0, MAX. LENGTH 0. PARAPET REBUILDING: 420 SQ. FT. LOCATION: CHIMENY AND ALL ELEVATIONS. | SPECIAL CONDITION: NO WORK TO BALCONIES</t>
  </si>
  <si>
    <t>LINE VOLTAGE ELECTRICAL WORK. ADD 2 CIRCUITS TO EXISTING 100 AMP SERVICE DISCONNECTING MEANS. RECEPTACLE OUTLETS: 1 . LIGHTING OUTLETS: 1. SPECIFIC LOCATION: INSTALL 100 AMP PANEL/METER PUBLIC 2 EXISTING CIRC.</t>
  </si>
  <si>
    <t>LINE VOLTAGE ELECTRICAL WORK. REPAIR OR ALTER DEVICES ON EXISTING CIRCUITS. RECEPTACLE OUTLETS: 1 . LIGHTING OUTLETS: 1. SPECIFIC LOCATION: GARAGE.</t>
  </si>
  <si>
    <t>REPAIR/REPLACEMENT AFFECTING 1 SYSTEMS :   1 OTHER COOLING EQUIPMENT(LENOX, 1GX102S5M, ROOF)  1 OTHER COOLING EQUIPMENT(LENOX, KGB036S4D,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</si>
  <si>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REPAIR/REPLACEMENT AFFECTING 1 SYSTEMS :   1 ROOFTOP PACKAGED UNIT(CARRIER 48FEEM12A ROOF)  2 ROOFTOP PACKAGED UNIT(CARRIER 48FEEA042M5 ROOF)  1 ROOFTOP PACKAGED UNIT(CARRIER 48FEEA06A2M5 ROOF) . ELECTRICAL WORK UNDER THIS PERMIT = NO . LOCATIONS: 0 RESIDENTIAL UNIT(S), 1 NON-RESIDENTIAL UNIT(S), EXTERIOR WORK,  ON ROOF. | SPECIAL CONDITION: CONTACT REFRIGERATION SUPERVISOR CLEMENT GAVIN 312-743-3562, PRIOR TO THE INSTALLATION OF ANY ROOFTOP EQUIPMENT, TO SCHEDULE AN INSPECTION.</t>
  </si>
  <si>
    <t>NEW DETACHED WOOD FRAME GARAGE. DIMENSIONS AND SETBACKS PER APPLICATION. BUILDING OUTSIDE DIMENSIONS: 20'-0' ' X20'-0' '. GABLE ROOF HEIGHT TO PEAK: 10'-0' '.</t>
  </si>
  <si>
    <t>REPAIR/REPLACEMENT AFFECTING 1 SYSTEMS :   5 CENTRAL FURNACE(GOODMAN, GMES80, MECHANICAL ROOM)  1 CENTRAL FURNACE(GOODMAN, GMES961005CN, MECHANICAL ROOM) . ELECTRICAL WORK UNDER THIS PERMIT = NO . LOCATIONS: 5 RESIDENTIAL UNIT(S), 1 NON-RESIDENTIAL UNIT(S),  MECHANICAL ROOMS.</t>
  </si>
  <si>
    <t>TUCKPOINTING AND UNIT MASONRY REPAIR / REPLACEMENT: 200 SQ. FT., LINTEL QTY. 46, MAX. LENGTH 6. LOCATION: FRONT ELEVATION.</t>
  </si>
  <si>
    <t>NEW DETACHED WOOD FRAME GARAGE. DIMENSIONS AND SETBACKS PER APPLICATION. BUILDING OUTSIDE DIMENSIONS: 22'-0' ' X20'-0' '. HIP ROOF HEIGHT TO PEAK: 13'-0' '.</t>
  </si>
  <si>
    <t>INSTALL SOLAR PANELS ON ROOF OF PRINCIPAL BUILDING. ROOF TYPE: STEEP (&gt;5:12). INVERTER OUTPUT: 11.5 KW. ARRAY OUTPUT: 0.00645 KW.   INCLUDES 11.5 KWH ENERGY STORAGE SYSTEM.  LOCATION: ROOFTOP. ICC DISTRIBUTED GENERATION INSTALLER CERT. #24-0198. | SPECIAL CONDITION: * NEC REFERENCES TO BE OMITTED FROM DRAWINGS, ALL GENERAL ELECTRICAL NOTES SHALL REFERENCE CEC 2018. * ALL EQUIPMENT, CONNECTORS, RACEWAYS, TAPS, MUST BE LISTED AND LABELED FOR USE.</t>
  </si>
  <si>
    <t>LINE VOLTAGE ELECTRICAL WORK. NEW PERMANENT 400 AMP SERVICE DISCONNECTING MEANS WITH 2 CIRCUITS. RECEPTACLE OUTLETS: 2 . LIGHTING OUTLETS: 2. SPECIFIC LOCATION: BASEMENT FOR ELECTRICAL EQUIPMENT.</t>
  </si>
  <si>
    <t>LINE VOLTAGE ELECTRICAL WORK. NEW PERMANENT 48 AMP SERVICE DISCONNECTING MEANS WITH 2 CIRCUITS. RECEPTACLE OUTLETS: 1 . LIGHTING OUTLETS: 0. 11.5 KWH LITHIUM ION ENERGY STORAGE SYSTEM. SPECIFIC LOCATION: SOUTHWEST AND SOUTHEAST SIDE OF THE HOUSE. | SPECIAL CONDITION: * PLEASE REFER TO SOLAR (PRINCIPAL) PERMIT B200438845 TIED TO THIS PERMIT.</t>
  </si>
  <si>
    <t>LINE VOLTAGE ELECTRICAL WORK. REPAIR OR ALTER DEVICES ON EXISTING CIRCUITS. RECEPTACLE OUTLETS: 30 . LIGHTING OUTLETS: 25. SPECIFIC LOCATION: ADD OUTLETS TO EXISTING DENTAL OFFICE.</t>
  </si>
  <si>
    <t>SCOPE: ROOF REPLACEMENT. AREA: 1600 SQ. FT. ROOF COVERING: ASPHALT SHINGLES. LOCATION: REPLACE ROOF INCLUDING 0.5 INCH SHEATHING PER CODE. IL ROOFING CONTRACTOR LICENSE: 104016500.</t>
  </si>
  <si>
    <t>LINE VOLTAGE ELECTRICAL WORK. REPAIR OR ALTER DEVICES ON EXISTING CIRCUITS. RECEPTACLE OUTLETS: 1 . LIGHTING OUTLETS: 0. ELECTRIC VEHICLE SUPPLY EQUIPMENT:1 SPACES. SPECIFIC LOCATION: GARAGE.</t>
  </si>
  <si>
    <t>LINE VOLTAGE ELECTRICAL WORK. ADD 1 CIRCUITS TO EXISTING 200 AMP SERVICE DISCONNECTING MEANS. RECEPTACLE OUTLETS: 1 . LIGHTING OUTLETS: 0. ELECTRIC VEHICLE SUPPLY EQUIPMENT:1 SPACES. SPECIFIC LOCATION: PARKING LOT OF THE BELMONT CRAGIN HEALTH CENTER.</t>
  </si>
  <si>
    <t>ADD GAS LINE FOR BASEMENT COOKTOP IN SINGLE FAMILY HOME. LOCATIONS: 1 RESIDENTIAL UNIT(S), 0 NON-RESIDENTIAL UNIT(S), SINGLE FAMILY.</t>
  </si>
  <si>
    <t>PURPOSE: NEW/REPLACEMENT INSTALLATION. VINYL/PVC FENCE - 6'-0' ' (HEIGHT) X 155'-0' ' (LENGTH). LOCATION: BACKYARD.</t>
  </si>
  <si>
    <t>PURPOSE: NEW/REPLACEMENT INSTALLATION. VINYL/PVC FENCE - 6'-0' ' (HEIGHT) X 104'-0' ' (LENGTH). LOCATION: BOTH SIDES OF THE PROPERTY..</t>
  </si>
  <si>
    <t>INSTALL SOLAR PANELS ON ROOF OF PRINCIPAL BUILDING. ROOF TYPE: SLOPED (2:12 TO 5:12). INVERTER OUTPUT: 7.6 KW. ARRAY OUTPUT: 8.5 KW.  LOCATION: ROOF OF PRINCIPAL BUILDING. ICC DISTRIBUTED GENERATION INSTALLER CERT. #24-0450. | SPECIAL CONDITION: * NEC REFERENCES TO BE OMITTED FROM DRAWINGS, ALL GENERAL ELECTRICAL NOTES SHALL REFERENCE CEC 2018. * REFER TO ELECTRICAL PERMIT B200438879.* ALL EQUIPMENT, CONNECTORS, RACEWAYS, TAPS, MUST BE LISTED AND LABELED FOR USE.</t>
  </si>
  <si>
    <t>LINE VOLTAGE ELECTRICAL WORK. NEW PERMANENT 125 AMP SERVICE DISCONNECTING MEANS WITH 1 CIRCUITS. RECEPTACLE OUTLETS: 1 . LIGHTING OUTLETS: 0. SPECIFIC LOCATION: (N) 125A RATED MAIN SERVICE PANEL 1PH, 120/240V.</t>
  </si>
  <si>
    <t>REPAIR OR IN-KIND REPLACEMENT OF 0 PLUMBING FIXTURES AS DESCRIBED IN PERMIT APPLICATION.  INCLUDES REPAIR OR REPLACMENT OF PLUMBING PIPING.  LOCATIONS: 1 RESIDENTIAL UNIT(S), 0 NON-RESIDENTIAL UNIT(S),  EXTERIOR WORK, BASEMENT, FRONT YARD.</t>
  </si>
  <si>
    <t>LINE VOLTAGE ELECTRICAL WORK. REPAIR OR ALTER DEVICES ON EXISTING CIRCUITS. RECEPTACLE OUTLETS: 0 . LIGHTING OUTLETS: 10. SPECIFIC LOCATION: BASEMENT.</t>
  </si>
  <si>
    <t>REPAIR/REPLACEMENT AFFECTING 1 SYSTEMS :   2 ROOFTOP PACKAGED UNIT(CARRIER, 48GEEM07A2A5-8U0A0, ROOF) . ELECTRICAL WORK UNDER THIS PERMIT = NO . LOCATIONS: 0 RESIDENTIAL UNIT(S), 0 NON-RESIDENTIAL UNIT(S), EXTERIOR WORK,  ROOFTOP. | SPECIAL CONDITION: CONTACT REFRIGERATION SUPERVISOR CLEMENT GAVIN 312-743-3562, PRIOR TO THE INSTALLATION OF ANY ROOFTOP EQUIPMENT, TO SCHEDULE AN INSPECTION.</t>
  </si>
  <si>
    <t>LINE VOLTAGE ELECTRICAL WORK. NEW PERMANENT 125 AMP SERVICE DISCONNECTING MEANS WITH 1 CIRCUITS. RECEPTACLE OUTLETS: 1 . LIGHTING OUTLETS: 0. 13.5 KWH LITHIUM ION ENERGY STORAGE SYSTEM. SPECIFIC LOCATION: EXTERIOR WALL.</t>
  </si>
  <si>
    <t>PURPOSE: NEW/REPLACEMENT INSTALLATION. WOOD FENCE - 6'-0' ' (HEIGHT) X 193'-0' ' (LENGTH). LOCATION: REAR AND SIDES OF PROPERTY.</t>
  </si>
  <si>
    <t>PURPOSE: NEW/REPLACEMENT INSTALLATION. WOOD FENCE - 6'-0' ' (HEIGHT) X 100'-0' ' (LENGTH). LOCATION: BACKYARD.</t>
  </si>
  <si>
    <t>TUCKPOINTING AND UNIT MASONRY REPAIR / REPLACEMENT: 10 SQ. FT., LINTEL QTY. 0, MAX. LENGTH 0. LOCATION: NORTH AND SOUTH WING INNER CORNER.</t>
  </si>
  <si>
    <t>REPAIR OR IN-KIND REPLACEMENT OF 0 PLUMBING FIXTURES AS DESCRIBED IN PERMIT APPLICATION.  INCLUDES REPAIR OR REPLACMENT OF PLUMBING PIPING.  LOCATIONS: 1 RESIDENTIAL UNIT(S), 0 NON-RESIDENTIAL UNIT(S), FLOOR 39 UNIT 3901.</t>
  </si>
  <si>
    <t>INSTALL SOLAR PANELS ON ROOF OF PRINCIPAL BUILDING. ROOF TYPE: STEEP (&gt;5:12). INVERTER OUTPUT: 6.08 KW. ARRAY OUTPUT: 7.695 KW.  LOCATION: ROOF OF HOME. ICC DISTRIBUTED GENERATION INSTALLER CERT. #18-0495. | SPECIAL CONDITION: * NEC REFERENCES TO BE OMITTED FROM DRAWINGS, ALL GENERAL ELECTRICAL NOTES SHALL REFERENCE CEC 2018. * ALL EQUIPMENT, CONNECTORS, RACEWAYS, TAPS, MUST BE LISTED AND LABELED FOR USE.</t>
  </si>
  <si>
    <t>INSTALL SOLAR PANELS ON ROOF OF PRINCIPAL BUILDING. ROOF TYPE: SLOPED (2:12 TO 5:12). INVERTER OUTPUT: 10 KW. ARRAY OUTPUT: 6.97 KW.   INCLUDES 13.5 KWH ENERGY STORAGE SYSTEM.  LOCATION: ROOF PLANES OF HOME. ICC DISTRIBUTED GENERATION INSTALLER CERT. #18-0817. | SPECIAL CONDITION: * NEC REFERENCES TO BE OMITTED FROM DRAWINGS, ALL GENERAL ELECTRICAL NOTES SHALL REFERENCE CEC 2018. * REFER TO ELECTRICAL PERMIT B200438323.* ALL EQUIPMENT, CONNECTORS, RACEWAYS, TAPS, MUST BE LISTED AND LABELED FOR USE.</t>
  </si>
  <si>
    <t>NEW DETACHED WOOD FRAME GARAGE. DIMENSIONS AND SETBACKS PER APPLICATION. BUILDING OUTSIDE DIMENSIONS: 22'-0' ' X20'-0' '. HIP ROOF HEIGHT TO PEAK: 13'-0' '. | SPECIAL CONDITION: ALSO KNOWN AS 9702 S PERRY AVE</t>
  </si>
  <si>
    <t>LINE VOLTAGE ELECTRICAL WORK. NEW PERMANENT 100 AMP SERVICE DISCONNECTING MEANS WITH 1 CIRCUITS. RECEPTACLE OUTLETS: 1 . LIGHTING OUTLETS: 0. 13.5 KWH LITHIUM ION ENERGY STORAGE SYSTEM. SPECIFIC LOCATION: EXTERIOR WALL, METER, SERVICE CONDUCTORS GROUNDING.</t>
  </si>
  <si>
    <t>LINE VOLTAGE ELECTRICAL WORK. NEW PERMANENT 100 AMP SERVICE DISCONNECTING MEANS WITH 8 CIRCUITS. RECEPTACLE OUTLETS: 1 . LIGHTING OUTLETS: 0. SPECIFIC LOCATION: APARTMENT F.</t>
  </si>
  <si>
    <t>TUCKPOINTING AND UNIT MASONRY REPAIR / REPLACEMENT: 500 SQ. FT., LINTEL QTY. 4, MAX. LENGTH 5. LOCATION: GARAGE.</t>
  </si>
  <si>
    <t>LINE VOLTAGE ELECTRICAL WORK. NEW PERMANENT 200 AMP SERVICE DISCONNECTING MEANS WITH 1 CIRCUITS. RECEPTACLE OUTLETS: 1 . LIGHTING OUTLETS: 1. SPECIFIC LOCATION: BASEMENT.</t>
  </si>
  <si>
    <t>LINE VOLTAGE ELECTRICAL WORK. INSTALL TEMPORARY 75 KW DIESEL GENERATOR. INSTALL TEMPORARY 75 KW DIESEL GENERATOR. RECEPTACLE OUTLETS: 0 . LIGHTING OUTLETS: 0. SPECIFIC LOCATION: STREET EVENT.</t>
  </si>
  <si>
    <t>TUCKPOINTING AND UNIT MASONRY REPAIR / REPLACEMENT: 300 SQ. FT., LINTEL QTY. 0, MAX. LENGTH 0. PARAPET REBUILDING: 180 SQ. FT. LOCATION: TOP SECTION ON FRONT WALL AND AROUND ENTRY DOOR.</t>
  </si>
  <si>
    <t>LINE VOLTAGE ELECTRICAL WORK. ADD 1 CIRCUITS TO EXISTING 100 AMP SERVICE DISCONNECTING MEANS. RECEPTACLE OUTLETS: 1 . LIGHTING OUTLETS: 0. ELECTRIC VEHICLE SUPPLY EQUIPMENT:1 SPACES. SPECIFIC LOCATION: ELECTRIC ROOM AND PARKING GARAGE.</t>
  </si>
  <si>
    <t>TUCKPOINTING AND UNIT MASONRY REPAIR / REPLACEMENT: 600 SQ. FT., LINTEL QTY. 0, MAX. LENGTH 0. LOCATION: EAST ELEVATION.</t>
  </si>
  <si>
    <t>LINE VOLTAGE ELECTRICAL WORK. ADD 42 CIRCUITS TO EXISTING 800 AMP SERVICE DISCONNECTING MEANS. RECEPTACLE OUTLETS: 1 . LIGHTING OUTLETS: 1. SPECIFIC LOCATION: FIRST FLOOR RETAIL TENANT ELECTRICAL PANEL.</t>
  </si>
  <si>
    <t>SCOPE: ROOF REPAIR. AREA: 6 SQ. FT. ROOF COVERING: ASPHALT SHINGLES. LOCATION: GARAGE. IL ROOFING CONTRACTOR LICENSE: 104020472.</t>
  </si>
  <si>
    <t>REPAIR/REPLACEMENT AFFECTING 2 SYSTEMS :   1 OTHER AIR HANDLING EQUIPMENT(BASEMENT, BOSCH BIVA-60MCB-M19X)  1 OTHER COOLING EQUIPMENT(BACKYARD, BOSCH BOVA-60MTB-M19E) . ELECTRICAL WORK UNDER THIS PERMIT = NO . LOCATIONS: 1 RESIDENTIAL UNIT(S), 0 NON-RESIDENTIAL UNIT(S), EXTERIOR WORK,  BASEMENT AND BACKYARD.</t>
  </si>
  <si>
    <t>SCOPE: NONSTRUCTURAL INTERIOR ALTERATION TO FLOOR PLAN AT EACH LEVEL OF SINGLE FAMILY HOME, AFFECTING PLUMBING, ELECTRICAL AND DUCTWORK. LOCATIONS: 1 RESIDENTIAL UNIT(S), 0 NON-RESIDENTIAL UNIT(S), BASEMENT, KITCHEN, SECOND FLOOR</t>
  </si>
  <si>
    <t>LINE VOLTAGE ELECTRICAL WORK. NEW PERMANENT 200 AMP SERVICE DISCONNECTING MEANS WITH 10 CIRCUITS. RECEPTACLE OUTLETS: 10 . LIGHTING OUTLETS: 0. SPECIFIC LOCATION: BASEMENT.</t>
  </si>
  <si>
    <t>TUCKPOINTING AND UNIT MASONRY REPAIR / REPLACEMENT: 750 SQ. FT., LINTEL QTY. 0, MAX. LENGTH 0. LOCATION: WEST ELEVATION.</t>
  </si>
  <si>
    <t>CONCRETE MASONRY REPAIR / REPLACEMNT: 50SQ. FT., EXCAVATION = NO. LOCATION: NORTH ELEVATION.</t>
  </si>
  <si>
    <t>NEW DETACHED WOOD FRAME GARAGE. DIMENSIONS AND SETBACKS PER APPLICATION. BUILDING OUTSIDE DIMENSIONS: 20'-0' ' X20'-0' '. HIP ROOF HEIGHT TO PEAK: 14'-0' '.</t>
  </si>
  <si>
    <t>REPAIR OR IN-KIND REPLACEMENT OF 0 PLUMBING FIXTURES AS DESCRIBED IN PERMIT APPLICATION.  REPAIR OR IN-KIND REPLACEMENT OF HOT WATER HEATER(S).  LOCATIONS: 1 RESIDENTIAL UNIT(S), 0 NON-RESIDENTIAL UNIT(S), BASEMENT.</t>
  </si>
  <si>
    <t>LOW VOLTAGE/COMMUNICATION ELECTRICAL WORK. INSTALL SECURITY. SPECIFIC LOCATION: INTERIOR WORK ONLY.</t>
  </si>
  <si>
    <t>REPAIR OR IN-KIND REPLACEMENT OF 14 PLUMBING FIXTURES AS DESCRIBED IN PERMIT APPLICATION.  REPAIR OR IN-KIND REPLACEMENT OF HOT WATER HEATER(S).  INCLUDES REPAIR OR REPLACMENT OF PLUMBING PIPING.  LOCATIONS: 1 RESIDENTIAL UNIT(S), 0 NON-RESIDENTIAL UNIT(S), BASEMENT, 1ST FLOOR AND 2ND FLOOR.</t>
  </si>
  <si>
    <t>LINE VOLTAGE ELECTRICAL WORK. ADD 1 CIRCUITS TO EXISTING 100 AMP SERVICE DISCONNECTING MEANS.  RECEPTACLE OUTLETS: 1 .  LIGHTING OUTLETS: 0.  ELECTRIC VEHICLE SUPPLY EQUIPMENT:1 SPACES.  SPECIFIC LOCATION: GARAGE.</t>
  </si>
  <si>
    <t>LINE VOLTAGE ELECTRICAL WORK. NEW PERMANENT 125 AMP SERVICE DISCONNECTING MEANS WITH 1 CIRCUITS. RECEPTACLE OUTLETS: 1 . LIGHTING OUTLETS: 0. SPECIFIC LOCATION: ROOF TOP.</t>
  </si>
  <si>
    <t>INSTALL SOLAR PANELS ON ROOF OF PRINCIPAL BUILDING. ROOF TYPE: SLOPED (2:12 TO 5:12). INVERTER OUTPUT: 10 KW. ARRAY OUTPUT: 11.89 KW.   INCLUDES 13.5 KWH ENERGY STORAGE SYSTEM.  LOCATION: ROOF PLANES OF HOME. ICC DISTRIBUTED GENERATION INSTALLER CERT. #18-0817. | SPECIAL CONDITION: * NEC REFERENCES TO BE OMITTED FROM DRAWINGS, ALL GENERAL ELECTRICAL NOTES SHALL REFERENCE CEC 2018. * REFER TO ELECTRICAL PERMIT B200438384.* ALL EQUIPMENT, CONNECTORS, RACEWAYS, TAPS, MUST BE LISTED AND LABELED FOR USE.</t>
  </si>
  <si>
    <t>REPAIR/REPLACEMENT AFFECTING 2 SYSTEMS :   1 OTHER AIR HANDLING EQUIPMENT(BASEMENT, MITSUBISHI PVA-AA42NL)  1 OTHER COOLING EQUIPMENT(BACKYARD MITSUBISHI PUZ-AK42NLHZ) . ELECTRICAL WORK UNDER THIS PERMIT = NO . LOCATIONS: 1 RESIDENTIAL UNIT(S), 0 NON-RESIDENTIAL UNIT(S), EXTERIOR WORK,  BASEMENT AND BACKYARD.</t>
  </si>
  <si>
    <t>LINE VOLTAGE ELECTRICAL WORK. NEW PERMANENT 200 AMP SERVICE DISCONNECTING MEANS WITH 10 CIRCUITS. RECEPTACLE OUTLETS: 10 . LIGHTING OUTLETS: 0. SPECIFIC LOCATION: BASEMENT AND BACKYARD.</t>
  </si>
  <si>
    <t>LINE VOLTAGE ELECTRICAL WORK. ADD 1 CIRCUITS TO EXISTING 15 AMP SERVICE DISCONNECTING MEANS. RECEPTACLE OUTLETS: 1 . LIGHTING OUTLETS: 0. SPECIFIC LOCATION: FRONT ENTRANCE.</t>
  </si>
  <si>
    <t>INSTALL SOLAR PANELS ON ROOF OF PRINCIPAL BUILDING. ROOF TYPE: STEEP (&gt;5:12). INVERTER OUTPUT: 7.04 KW. ARRAY OUTPUT: 8.91 KW.   INCLUDES 20 KWH ENERGY STORAGE SYSTEM.  LOCATION: ROOF OF HOME. ICC DISTRIBUTED GENERATION INSTALLER CERT. #18-0495. | SPECIAL CONDITION: * NEC REFERENCES TO BE OMITTED FROM DRAWINGS, ALL GENERAL ELECTRICAL NOTES SHALL REFERENCE CEC 2018. * PLEASE APPLY FOR ELECTRICAL PERMIT PRIOR TO SOLAR INSPECTION AND HAVE PRESENT ON DATE OF INSPECTION OR RISK FAILURE AS PROPOSED WORK PER ELECTRICAL DRAWING.* UNDERGROUND RACEWAY TO BE INSPECTED BY AHJ PRIOR TO COVERING. * ALL EQUIPMENT, CONNECTORS, RACEWAYS, TAPS, MUST BE LISTED AND LABELED FOR USE.</t>
  </si>
  <si>
    <t>TUCKPOINTING AND UNIT MASONRY REPAIR / REPLACEMENT: 200 SQ. FT., LINTEL QTY. 0, MAX. LENGTH 0. LOCATION: NORTH AND WEST ELEVATIONS.</t>
  </si>
  <si>
    <t>INSTALL SOLAR PANELS ON ROOF OF PRINCIPAL BUILDING. ROOF TYPE: SLOPED (2:12 TO 5:12). INVERTER OUTPUT: 10 KW. ARRAY OUTPUT: 10.25 KW.   INCLUDES 13.5 KWH ENERGY STORAGE SYSTEM.  LOCATION: ROOF PLANES OF HOME. ICC DISTRIBUTED GENERATION INSTALLER CERT. #18-0817. | SPECIAL CONDITION: * NEC REFERENCES TO BE OMITTED FROM DRAWINGS, ALL GENERAL ELECTRICAL NOTES SHALL REFERENCE CEC 2018. * REFER TO ELECTRICAL PERMIT B200439026.* ALL EQUIPMENT, CONNECTORS, RACEWAYS, TAPS, MUST BE LISTED AND LABELED FOR USE.</t>
  </si>
  <si>
    <t>FULL REBUILD (SAME AS EXISTING) FOR WOOD EXTERIOR BALCONY (QUANTITY: 1, LOCATION: FRONT OF BUILDING).</t>
  </si>
  <si>
    <t>LOW VOLTAGE/COMMUNICATION ELECTRICAL WORK. INSTALL DATA/VIDEO. SPECIFIC LOCATION: SUITE 575.</t>
  </si>
  <si>
    <t>STABALIZATION OF SOUTHWEST EXTERIOR WALL ONLY. LOCATIONS: 2 RESIDENTIAL UNIT(S), 0 NON-RESIDENTIAL UNIT(S), EXTERIOR WORK, SOUTHWEST CORNER OF BASEMENT.</t>
  </si>
  <si>
    <t>INSTALL SOLAR PANELS ON ROOF OF PRINCIPAL BUILDING. ROOF TYPE: STEEP (&gt;5:12). INVERTER OUTPUT: 10 KW. ARRAY OUTPUT: 7.38 KW.   INCLUDES 13.5 KWH ENERGY STORAGE SYSTEM.  LOCATION: ROOF PLANES OF HOME. ICC DISTRIBUTED GENERATION INSTALLER CERT. #18-0817. | SPECIAL CONDITION: * NEC REFERENCES TO BE OMITTED FROM DRAWINGS, ALL GENERAL ELECTRICAL NOTES SHALL REFERENCE CEC 2018. * REFER TO ELECTRICAL PERMIT B200439032.* ALL EQUIPMENT, CONNECTORS, RACEWAYS, TAPS, MUST BE LISTED AND LABELED FOR USE.</t>
  </si>
  <si>
    <t>LINE VOLTAGE ELECTRICAL WORK. NEW PERMANENT 225 AMP SERVICE DISCONNECTING MEANS WITH 1 CIRCUITS. RECEPTACLE OUTLETS: 1 . LIGHTING OUTLETS: 0. 13.56 KWH LITHIUM ION ENERGY STORAGE SYSTEM. SPECIFIC LOCATION: EXTERIOR WALL.</t>
  </si>
  <si>
    <t>IN-KIND REPLACEMENT OF EXTERIOR WINDOWS AND DOORS IN EXISTING OPENINGS. REPLACEMENT WINDOWS: 11; REPLACEMENT SKYLIGHTS: 0; REPLACEMENT DOORS: 1. AFFECTS: 1 RESIDENTIAL UNIT(S), 0 NON-RESIDENTIAL UNIT(S), LOCATION: LIVING ROOM, 3 BEDROOMS AND KITCHEN.</t>
  </si>
  <si>
    <t>INSTALL SOLAR PANELS ON ROOF OF PRINCIPAL BUILDING. ROOF TYPE: SLOPED (2:12 TO 5:12). INVERTER OUTPUT: 5.51 KW. ARRAY OUTPUT: 8.075 KW.  LOCATION: ROOF AND EXTERIOR. ICC DISTRIBUTED GENERATION INSTALLER CERT. #25-0072. | SPECIAL CONDITION: * NEC REFERENCES TO BE OMITTED FROM DRAWINGS, ALL GENERAL ELECTRICAL NOTES SHALL REFERENCE CEC 2018. * PLEASE APPLY FOR ELECTRICAL PERMIT PRIOR TO SOLAR INSPECTION AND HAVE PRESENT ON DATE OF INSPECTION OR RISK FAILURE AS PROPOSED WORK PER ELECTRICAL DRAWING.* ALL EQUIPMENT, CONNECTORS, RACEWAYS, TAPS, MUST BE LISTED AND LABELED FOR USE.</t>
  </si>
  <si>
    <t>INSTALL SOLAR PANELS ON ROOF OF PRINCIPAL BUILDING. ROOF TYPE: SLOPED (2:12 TO 5:12). INVERTER OUTPUT: 10 KW. ARRAY OUTPUT: 1.64 KW.   INCLUDES 13.5 KWH ENERGY STORAGE SYSTEM.  LOCATION: ROOF PANELS. ICC DISTRIBUTED GENERATION INSTALLER CERT. #18-0817. | SPECIAL CONDITION: * NEC REFERENCES TO BE OMITTED FROM DRAWINGS, ALL GENERAL ELECTRICAL NOTES SHALL REFERENCE CEC 2018. * REFER TO SOLAR (ACCESSORY) PERMIT B200439056 AND ELECTRICAL PERMIT B200438711.* UNDERGROUND RACEWAY TO BE INSPECTED BY AHJ PRIOR TO COVERING. * ALL EQUIPMENT, CONNECTORS, RACEWAYS, TAPS, MUST BE LISTED AND LABELED FOR USE.</t>
  </si>
  <si>
    <t>INSTALL SOLAR PANELS ON ROOF OF ACCESSORY BUILDING. ROOF TYPE: SLOPED (2:12 TO 5:12). INVERTER OUTPUT: 10 KW. ARRAY OUTPUT: 2.46 KW.   INCLUDES 13.5 KWH ENERGY STORAGE SYSTEM.  LOCATION: ROOF PLANE OF ACCESSORY BUILDING. ICC DISTRIBUTED GENERATION INSTALLER CERT. #18-0817. | SPECIAL CONDITION: * NEC REFERENCES TO BE OMITTED FROM DRAWINGS, ALL GENERAL ELECTRICAL NOTES SHALL REFERENCE CEC 2018. * REFER TO SOLAR (PRINCIPAL) PERMIT B200439053 AND ELECTRICAL PERMIT B200438711.* UNDERGROUND RACEWAY TO BE INSPECTED BY AHJ PRIOR TO COVERING. * ALL EQUIPMENT, CONNECTORS, RACEWAYS, TAPS, MUST BE LISTED AND LABELED FOR USE.</t>
  </si>
  <si>
    <t>SCOPE: ROOF REPLACEMENT. AREA: 6250 SQ. FT. ROOF COVERING: ASPHALT SHINGLES. LOCATION: THE ROOF. IL ROOFING CONTRACTOR LICENSE: 104017913.</t>
  </si>
  <si>
    <t>LINE VOLTAGE ELECTRICAL WORK. REPAIR OR ALTER DEVICES ON EXISTING CIRCUITS. RECEPTACLE OUTLETS: 1 . LIGHTING OUTLETS: 0. SPECIFIC LOCATION: BASEMENT.</t>
  </si>
  <si>
    <t>NEW DETACHED WOOD FRAME GARAGE. DIMENSIONS AND SETBACKS PER APPLICATION. BUILDING OUTSIDE DIMENSIONS: 22'-0' ' X20'-0' '. HIP ROOF HEIGHT TO PEAK: 12'-6' '.</t>
  </si>
  <si>
    <t>LINE VOLTAGE ELECTRICAL WORK. REPAIR OR ALTER DEVICES ON EXISTING CIRCUITS. RECEPTACLE OUTLETS: 15 . LIGHTING OUTLETS: 6. SPECIFIC LOCATION: UNIT# 706: CLOSET, KITCHEN.</t>
  </si>
  <si>
    <t>SCOPE: ROOF REPLACEMENT. AREA: 8000 SQ. FT. ROOF COVERING: ASPHALT SHINGLES. LOCATION: ROOF (SHINGLES REPLACEMENT ). IL ROOFING CONTRACTOR LICENSE: 104020320.</t>
  </si>
  <si>
    <t>LINE VOLTAGE ELECTRICAL WORK. NEW PERMANENT 200 AMP SERVICE DISCONNECTING MEANS WITH 20 CIRCUITS. RECEPTACLE OUTLETS: 1 . LIGHTING OUTLETS: 1. SPECIFIC LOCATION: BASEMENT.</t>
  </si>
  <si>
    <t>SCOPE: ROOF REPLACEMENT. AREA: 1900 SQ. FT. ROOF COVERING: ASPHALT SHINGLES. LOCATION: SHINGLE ROOF REPLACEMENT. IL ROOFING CONTRACTOR LICENSE: 104018955.</t>
  </si>
  <si>
    <t>LOW VOLTAGE/COMMUNICATION ELECTRICAL WORK. ALTER EXISTING LIGHTING. SPECIFIC LOCATION: KITCHEN.</t>
  </si>
  <si>
    <t>INSTALL SOLAR PANELS ON ROOF OF ACCESSORY BUILDING. ROOF TYPE: STEEP (&gt;5:12). INVERTER OUTPUT: 3.42 KW. ARRAY OUTPUT: 4.05 KW.  LOCATION: DETACHED GARAGE ROOF - ACCESSORY BUILDING. ICC DISTRIBUTED GENERATION INSTALLER CERT. #18-0735. | SPECIAL CONDITION: *  NEC REFERENCES TO BE OMITTED FROM DRAWINGS, ALL GENERAL ELECTRICAL NOTES SHALL REFERENCE CEC 2018. * REFER TO SOLAR (PRINCIPAL) PERMIT B200439096.* UNDERGROUND RACEWAY TO BE INSPECTED BY AHJ PRIOR TO COVERING. * ALL EQUIPMENT, CONNECTORS, RACEWAYS, TAPS, MUST BE LISTED AND LABELED FOR USE.</t>
  </si>
  <si>
    <t>INSTALL SOLAR PANELS ON ROOF OF PRINCIPAL BUILDING. ROOF TYPE: STEEP (&gt;5:12). INVERTER OUTPUT: 2.28 KW. ARRAY OUTPUT: 2.7 KW.  LOCATION: ROOF - PRINCIPAL STRUCTURE. ICC DISTRIBUTED GENERATION INSTALLER CERT. #18-0735. | SPECIAL CONDITION: * SUBMIT CORRECTIONS ON (ACCESSORY PERMT) FOR APPROVAL.*  NEC REFERENCES TO BE OMITTED FROM DRAWINGS, ALL GENERAL ELECTRICAL NOTES SHALL REFERENCE CEC 2018. * REFER TO SOLAR (ACCESSORY) PERMIT B200439095.* UNDERGROUND RACEWAY TO BE INSPECTED BY AHJ PRIOR TO COVERING. * ALL EQUIPMENT, CONNECTORS, RACEWAYS, TAPS, MUST BE LISTED AND LABELED FOR USE.</t>
  </si>
  <si>
    <t>NEW DETACHED WOOD FRAME GARAGE. DIMENSIONS AND SETBACKS PER APPLICATION. BUILDING OUTSIDE DIMENSIONS: 22'-0' ' X21'-0' '. HIP ROOF HEIGHT TO PEAK: 14'-0' '.</t>
  </si>
  <si>
    <t>NEW DETACHED WOOD FRAME GARAGE. DIMENSIONS AND SETBACKS PER APPLICATION. BUILDING OUTSIDE DIMENSIONS: 22'-0' ' X22'-0' '. HIP ROOF HEIGHT TO PEAK: 13'-6' '.</t>
  </si>
  <si>
    <t>TUCKPOINTING AND UNIT MASONRY REPAIR / REPLACEMENT: 250 SQ. FT., LINTEL QTY. 0, MAX. LENGTH 0. LOCATION: GARAGE PARAPET WALL.</t>
  </si>
  <si>
    <t>INSTALL SOLAR PANELS ON ROOF OF ACCESSORY BUILDING. ROOF TYPE: LOW-SLOPED (&lt;2:12). INVERTER OUTPUT: 8.075 KW. ARRAY OUTPUT: 8.075 KW.  LOCATION: GARAGE. ICC DISTRIBUTED GENERATION INSTALLER CERT. #14-0400. | SPECIAL CONDITION: * SUBMIT CORRECTIONS ON (ACCESSORY PERMT) FOR APPROVAL.*  NEC REFERENCES TO BE OMITTED FROM DRAWINGS, ALL GENERAL ELECTRICAL NOTES SHALL REFERENCE CEC 2018. * REFER TO SOLAR (PRINCIPAL) PERMIT B200437991.* UNDERGROUND RACEWAY TO BE INSPECTED BY AHJ PRIOR TO COVERING. * ALL EQUIPMENT, CONNECTORS, RACEWAYS, TAPS, MUST BE LISTED AND LABELED FOR USE.</t>
  </si>
  <si>
    <t>TUCKPOINTING AND UNIT MASONRY REPAIR / REPLACEMENT: 300 SQ. FT., LINTEL QTY. 0, MAX. LENGTH 0. PARAPET REBUILDING: 2 SQ. FT. LOCATION: 3RD FLOOR (BRICKS).</t>
  </si>
  <si>
    <t>INSTALL SOLAR PANELS ON ROOF OF PRINCIPAL BUILDING. ROOF TYPE: STEEP (&gt;5:12). INVERTER OUTPUT: 10 KW. ARRAY OUTPUT: 6.97 KW.   INCLUDES 13.5 KWH ENERGY STORAGE SYSTEM.  LOCATION: ROOF PANELS. ICC DISTRIBUTED GENERATION INSTALLER CERT. #18-0817. | SPECIAL CONDITION: * PLEASE MAKE THE NECESSARY CORRECTIONS TO THE APPLICATION TO MATCH THE DRAWINGS OR SUBMIT A NEW PERMIT APPLICATION.</t>
  </si>
  <si>
    <t>LINE VOLTAGE ELECTRICAL WORK. NEW PERMANENT 200 AMP SERVICE DISCONNECTING MEANS WITH 1 CIRCUITS. RECEPTACLE OUTLETS: 1 . LIGHTING OUTLETS: 0. 13.5 KWH LITHIUM ION ENERGY STORAGE SYSTEM. SPECIFIC LOCATION: EXTERIOR.</t>
  </si>
  <si>
    <t>SCOPE: ROOF RECOVER. AREA: 2800 SQ. FT. ROOF COVERING: OTHER. LOCATION: ROOFING. IL ROOFING CONTRACTOR LICENSE: 104016981.</t>
  </si>
  <si>
    <t>TUCKPOINTING AND UNIT MASONRY REPAIR / REPLACEMENT: 50 SQ. FT., LINTEL QTY. 6, MAX. LENGTH 4. LOCATION: EAST ELEVATION.</t>
  </si>
  <si>
    <t>LINE VOLTAGE ELECTRICAL WORK. NEW PERMANENT 100 AMP SERVICE DISCONNECTING MEANS WITH 1 CIRCUITS. RECEPTACLE OUTLETS: 1 . LIGHTING OUTLETS: 0. 13.5 KWH LITHIUM ION ENERGY STORAGE SYSTEM. SPECIFIC LOCATION: EXTERIOR, SERVICE CONDUCTOR, METER.</t>
  </si>
  <si>
    <t>FULL REBUILD (SAME AS EXISTING) FOR WOOD PORCH (OPEN) (QUANTITY: 1, LOCATION: REAR OF BUILDING).</t>
  </si>
  <si>
    <t>SCOPE: ROOF REPAIR. AREA: 15 SQ. FT. ROOF COVERING: MINERAL - SURFACED ROLL ROOFING. LOCATION: 6168 N RAVENSWOOD #D, ROOF. IL ROOFING CONTRACTOR LICENSE: 104019663.</t>
  </si>
  <si>
    <t>LINE VOLTAGE ELECTRICAL WORK. NEW PERMANENT 100 AMP SERVICE DISCONNECTING MEANS WITH 1 CIRCUITS. RECEPTACLE OUTLETS: 1 . LIGHTING OUTLETS: 0. 13.5 KWH LITHIUM ION ENERGY STORAGE SYSTEM. SPECIFIC LOCATION: EXTERIOR.</t>
  </si>
  <si>
    <t>PURPOSE: NEW/REPLACEMENT INSTALLATION. WOOD FENCE - 6'-0' ' (HEIGHT) X 67'-0' ' (LENGTH). LOCATION: EXTERIOR FENCE.</t>
  </si>
  <si>
    <t>INSTALL SOLAR PANELS ON ROOF OF PRINCIPAL BUILDING. ROOF TYPE: SLOPED (2:12 TO 5:12). INVERTER OUTPUT: 10 KW. ARRAY OUTPUT: 13.12 KW.   INCLUDES 13.5 KWH ENERGY STORAGE SYSTEM.  LOCATION: ROOF PLANES OF HOME. ICC DISTRIBUTED GENERATION INSTALLER CERT. #18-0817. | SPECIAL CONDITION: * NEC REFERENCES TO BE OMITTED FROM DRAWINGS, ALL GENERAL ELECTRICAL NOTES SHALL REFERENCE CEC 2018. * REFER TO ELECTRICAL PERMIT B200438746.* ALL EQUIPMENT, CONNECTORS, RACEWAYS, TAPS, MUST BE LISTED AND LABELED FOR USE.</t>
  </si>
  <si>
    <t>LOW VOLTAGE/COMMUNICATION ELECTRICAL WORK. INSTALL OTHER. SPECIFIC LOCATION: 26TH FLOOR.</t>
  </si>
  <si>
    <t>TUCKPOINTING AND UNIT MASONRY REPAIR / REPLACEMENT: 380 SQ. FT., LINTEL QTY. 0, MAX. LENGTH 0. LOCATION: 2A, FRONT FACADE.</t>
  </si>
  <si>
    <t>LINE VOLTAGE ELECTRICAL WORK. NEW PERMANENT 48 AMP SERVICE DISCONNECTING MEANS WITH 3 CIRCUITS. RECEPTACLE OUTLETS: 1 . LIGHTING OUTLETS: 0. 11.5 KWH LITHIUM ION ENERGY STORAGE SYSTEM. SPECIFIC LOCATION: SOUTH SIDE OF THE HOUSE.</t>
  </si>
  <si>
    <t>REPAIR OR IN-KIND REPLACEMENT OF 5 PLUMBING FIXTURES AS DESCRIBED IN PERMIT APPLICATION.  LOCATIONS: 1 RESIDENTIAL UNIT(S), 0 NON-RESIDENTIAL UNIT(S), 2ND FLOOR BATHROOM AND 1ST FLOOR POWDER ROOM.</t>
  </si>
  <si>
    <t>PURPOSE: NEW/REPLACEMENT INSTALLATION. WOOD FENCE - 6'-0' ' (HEIGHT) X 115'-0' ' (LENGTH). LOCATION: SIDE FENCE OF THE PROPERTY.</t>
  </si>
  <si>
    <t>TUCKPOINTING AND UNIT MASONRY REPAIR / REPLACEMENT: 1800 SQ. FT., LINTEL QTY. 0, MAX. LENGTH 0. PARAPET REBUILDING: 296 SQ. FT. LOCATION: EXTERIOR FACADE AND NORTH PARAPET WALLS.</t>
  </si>
  <si>
    <t>TUCKPOINTING AND UNIT MASONRY REPAIR / REPLACEMENT: 5000 SQ. FT., LINTEL QTY. 0, MAX. LENGTH 0. LOCATION: EXTERIOR MASONRY REPAIRS ALL ELEVATIONS.</t>
  </si>
  <si>
    <t>LINE VOLTAGE ELECTRICAL WORK. NEW TEMPORARY 100 AMP SERVICE DISCONNECTING MEANS WITH 30 CIRCUITS. RECEPTACLE OUTLETS: 4 . LIGHTING OUTLETS: 0. SPECIFIC LOCATION: NEW TEMP COMED SERVICE IN COURT YARD. | SPECIAL CONDITION: NO OTHER WORK.</t>
  </si>
  <si>
    <t>LINE VOLTAGE ELECTRICAL WORK. NEW PERMANENT 15 AMP SERVICE DISCONNECTING MEANS WITH 1 CIRCUITS. RECEPTACLE OUTLETS: 1 . LIGHTING OUTLETS: 0. SPECIFIC LOCATION: SOUTH SIDE OF THE HOUSE.</t>
  </si>
  <si>
    <t>NO PIN FOUND</t>
  </si>
  <si>
    <t>No</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</si>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</sst>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0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t="s">
        <v>205</v>
      </c>
      <c r="D2" t="s">
        <v>405</v>
      </c>
      <c r="I2">
        <v>555000</v>
      </c>
      <c r="K2" t="s">
        <v>420</v>
      </c>
      <c r="L2">
        <f>HYPERLINK("https://maps.cookcountyil.gov/cookviewer/?search=2909 N SHERIDAN RD", "2909 N SHERIDAN RD")</f>
        <v>0</v>
      </c>
      <c r="N2" t="s">
        <v>602</v>
      </c>
      <c r="P2" t="s">
        <v>603</v>
      </c>
      <c r="Q2" t="s">
        <v>780</v>
      </c>
      <c r="U2">
        <f>HYPERLINK("https://www.cookcountyassessoril.gov/pin/14282040101003", "14-28-204-010-1003")</f>
        <v>0</v>
      </c>
      <c r="V2" t="s">
        <v>970</v>
      </c>
    </row>
    <row r="3" spans="1:23">
      <c r="A3">
        <v>2</v>
      </c>
      <c r="B3" t="s">
        <v>24</v>
      </c>
      <c r="C3" t="s">
        <v>206</v>
      </c>
      <c r="D3" t="s">
        <v>406</v>
      </c>
      <c r="I3">
        <v>3000</v>
      </c>
      <c r="K3" t="s">
        <v>421</v>
      </c>
      <c r="L3">
        <f>HYPERLINK("https://maps.cookcountyil.gov/cookviewer/?search=2711 S TRUMBULL AVE", "2711 S TRUMBULL AVE")</f>
        <v>0</v>
      </c>
      <c r="N3" t="s">
        <v>602</v>
      </c>
      <c r="P3" t="s">
        <v>604</v>
      </c>
      <c r="Q3" t="s">
        <v>781</v>
      </c>
      <c r="U3">
        <f>HYPERLINK("https://www.cookcountyassessoril.gov/pin/16264110040000", "16-26-411-004-0000")</f>
        <v>0</v>
      </c>
      <c r="V3" t="s">
        <v>970</v>
      </c>
    </row>
    <row r="4" spans="1:23">
      <c r="A4">
        <v>3</v>
      </c>
      <c r="B4" t="s">
        <v>25</v>
      </c>
      <c r="C4" t="s">
        <v>207</v>
      </c>
      <c r="D4" t="s">
        <v>407</v>
      </c>
      <c r="I4">
        <v>3000</v>
      </c>
      <c r="K4" t="s">
        <v>422</v>
      </c>
      <c r="L4">
        <f>HYPERLINK("https://maps.cookcountyil.gov/cookviewer/?search=10421 S CHURCH ST", "10421 S CHURCH ST")</f>
        <v>0</v>
      </c>
      <c r="N4" t="s">
        <v>602</v>
      </c>
      <c r="P4" t="s">
        <v>605</v>
      </c>
      <c r="Q4" t="s">
        <v>782</v>
      </c>
      <c r="U4">
        <f>HYPERLINK("https://www.cookcountyassessoril.gov/pin/25171070100000", "25-17-107-010-0000")</f>
        <v>0</v>
      </c>
      <c r="V4" t="s">
        <v>970</v>
      </c>
    </row>
    <row r="5" spans="1:23">
      <c r="A5">
        <v>4</v>
      </c>
      <c r="B5" t="s">
        <v>26</v>
      </c>
      <c r="C5" t="s">
        <v>208</v>
      </c>
      <c r="D5" t="s">
        <v>408</v>
      </c>
      <c r="I5">
        <v>7800</v>
      </c>
      <c r="K5" t="s">
        <v>423</v>
      </c>
      <c r="L5">
        <f>HYPERLINK("https://maps.cookcountyil.gov/cookviewer/?search=1132 N LECLAIRE AVE", "1132 N LECLAIRE AVE")</f>
        <v>0</v>
      </c>
      <c r="N5" t="s">
        <v>602</v>
      </c>
      <c r="P5" t="s">
        <v>606</v>
      </c>
      <c r="Q5" t="s">
        <v>783</v>
      </c>
      <c r="U5">
        <f>HYPERLINK("https://www.cookcountyassessoril.gov/pin/16044010290000", "16-04-401-029-0000")</f>
        <v>0</v>
      </c>
      <c r="V5" t="s">
        <v>970</v>
      </c>
    </row>
    <row r="6" spans="1:23">
      <c r="A6">
        <v>5</v>
      </c>
      <c r="B6" t="s">
        <v>27</v>
      </c>
      <c r="C6" t="s">
        <v>209</v>
      </c>
      <c r="D6" t="s">
        <v>409</v>
      </c>
      <c r="I6">
        <v>9700</v>
      </c>
      <c r="K6" t="s">
        <v>424</v>
      </c>
      <c r="L6">
        <f>HYPERLINK("https://maps.cookcountyil.gov/cookviewer/?search=2451 N MILWAUKEE AVE", "2451 N MILWAUKEE AVE")</f>
        <v>0</v>
      </c>
      <c r="N6" t="s">
        <v>602</v>
      </c>
      <c r="P6" t="s">
        <v>607</v>
      </c>
      <c r="Q6" t="s">
        <v>784</v>
      </c>
      <c r="U6" t="s">
        <v>969</v>
      </c>
      <c r="V6" t="s">
        <v>970</v>
      </c>
    </row>
    <row r="7" spans="1:23">
      <c r="A7">
        <v>6</v>
      </c>
      <c r="B7" t="s">
        <v>28</v>
      </c>
      <c r="C7" t="s">
        <v>210</v>
      </c>
      <c r="D7" t="s">
        <v>406</v>
      </c>
      <c r="I7">
        <v>1500</v>
      </c>
      <c r="K7" t="s">
        <v>425</v>
      </c>
      <c r="L7">
        <f>HYPERLINK("https://maps.cookcountyil.gov/cookviewer/?search=2003 S ASHLAND AVE", "2003 S ASHLAND AVE")</f>
        <v>0</v>
      </c>
      <c r="N7" t="s">
        <v>602</v>
      </c>
      <c r="P7" t="s">
        <v>608</v>
      </c>
      <c r="Q7" t="s">
        <v>785</v>
      </c>
      <c r="U7">
        <f>HYPERLINK("https://www.cookcountyassessoril.gov/pin/17203180330000", "17-20-318-033-0000")</f>
        <v>0</v>
      </c>
      <c r="V7" t="s">
        <v>970</v>
      </c>
    </row>
    <row r="8" spans="1:23">
      <c r="A8">
        <v>7</v>
      </c>
      <c r="B8" t="s">
        <v>29</v>
      </c>
      <c r="C8" t="s">
        <v>211</v>
      </c>
      <c r="D8" t="s">
        <v>410</v>
      </c>
      <c r="I8">
        <v>2000</v>
      </c>
      <c r="K8" t="s">
        <v>426</v>
      </c>
      <c r="L8">
        <f>HYPERLINK("https://maps.cookcountyil.gov/cookviewer/?search=7646 S INGLESIDE AVE", "7646 S INGLESIDE AVE")</f>
        <v>0</v>
      </c>
      <c r="N8" t="s">
        <v>602</v>
      </c>
      <c r="P8" t="s">
        <v>609</v>
      </c>
      <c r="Q8" t="s">
        <v>786</v>
      </c>
      <c r="U8" t="s">
        <v>969</v>
      </c>
      <c r="V8" t="s">
        <v>970</v>
      </c>
    </row>
    <row r="9" spans="1:23">
      <c r="A9">
        <v>8</v>
      </c>
      <c r="B9" t="s">
        <v>30</v>
      </c>
      <c r="C9" t="s">
        <v>212</v>
      </c>
      <c r="D9" t="s">
        <v>411</v>
      </c>
      <c r="I9">
        <v>1800</v>
      </c>
      <c r="K9" t="s">
        <v>427</v>
      </c>
      <c r="L9">
        <f>HYPERLINK("https://maps.cookcountyil.gov/cookviewer/?search=810 E 79TH ST", "810 E 79TH ST")</f>
        <v>0</v>
      </c>
      <c r="N9" t="s">
        <v>602</v>
      </c>
      <c r="P9" t="s">
        <v>610</v>
      </c>
      <c r="Q9" t="s">
        <v>787</v>
      </c>
      <c r="U9" t="s">
        <v>969</v>
      </c>
      <c r="V9" t="s">
        <v>970</v>
      </c>
    </row>
    <row r="10" spans="1:23">
      <c r="A10">
        <v>9</v>
      </c>
      <c r="B10" t="s">
        <v>31</v>
      </c>
      <c r="C10" t="s">
        <v>213</v>
      </c>
      <c r="D10" t="s">
        <v>411</v>
      </c>
      <c r="I10">
        <v>4100</v>
      </c>
      <c r="K10" t="s">
        <v>428</v>
      </c>
      <c r="L10">
        <f>HYPERLINK("https://maps.cookcountyil.gov/cookviewer/?search=4443 N MULLIGAN AVE", "4443 N MULLIGAN AVE")</f>
        <v>0</v>
      </c>
      <c r="N10" t="s">
        <v>602</v>
      </c>
      <c r="P10" t="s">
        <v>611</v>
      </c>
      <c r="Q10" t="s">
        <v>788</v>
      </c>
      <c r="U10">
        <f>HYPERLINK("https://www.cookcountyassessoril.gov/pin/13171170050000", "13-17-117-005-0000")</f>
        <v>0</v>
      </c>
      <c r="V10" t="s">
        <v>970</v>
      </c>
    </row>
    <row r="11" spans="1:23">
      <c r="A11">
        <v>10</v>
      </c>
      <c r="B11" t="s">
        <v>32</v>
      </c>
      <c r="C11" t="s">
        <v>214</v>
      </c>
      <c r="D11" t="s">
        <v>411</v>
      </c>
      <c r="I11">
        <v>1750</v>
      </c>
      <c r="K11" t="s">
        <v>429</v>
      </c>
      <c r="L11">
        <f>HYPERLINK("https://maps.cookcountyil.gov/cookviewer/?search=8354 S ANTHONY AVE", "8354 S ANTHONY AVE")</f>
        <v>0</v>
      </c>
      <c r="N11" t="s">
        <v>602</v>
      </c>
      <c r="P11" t="s">
        <v>612</v>
      </c>
      <c r="Q11" t="s">
        <v>789</v>
      </c>
      <c r="U11">
        <f>HYPERLINK("https://www.cookcountyassessoril.gov/pin/20363060110000", "20-36-306-011-0000")</f>
        <v>0</v>
      </c>
      <c r="V11" t="s">
        <v>970</v>
      </c>
    </row>
    <row r="12" spans="1:23">
      <c r="A12">
        <v>11</v>
      </c>
      <c r="B12" t="s">
        <v>33</v>
      </c>
      <c r="C12" t="s">
        <v>215</v>
      </c>
      <c r="D12" t="s">
        <v>412</v>
      </c>
      <c r="I12">
        <v>6500</v>
      </c>
      <c r="K12" t="s">
        <v>430</v>
      </c>
      <c r="L12">
        <f>HYPERLINK("https://maps.cookcountyil.gov/cookviewer/?search=1511 N LINDER AVE", "1511 N LINDER AVE")</f>
        <v>0</v>
      </c>
      <c r="N12" t="s">
        <v>602</v>
      </c>
      <c r="P12" t="s">
        <v>613</v>
      </c>
      <c r="Q12" t="s">
        <v>790</v>
      </c>
      <c r="U12">
        <f>HYPERLINK("https://www.cookcountyassessoril.gov/pin/16041020220000", "16-04-102-022-0000")</f>
        <v>0</v>
      </c>
      <c r="V12" t="s">
        <v>970</v>
      </c>
    </row>
    <row r="13" spans="1:23">
      <c r="A13">
        <v>12</v>
      </c>
      <c r="B13" t="s">
        <v>34</v>
      </c>
      <c r="C13" t="s">
        <v>216</v>
      </c>
      <c r="D13" t="s">
        <v>413</v>
      </c>
      <c r="I13">
        <v>8000</v>
      </c>
      <c r="K13" t="s">
        <v>431</v>
      </c>
      <c r="L13">
        <f>HYPERLINK("https://maps.cookcountyil.gov/cookviewer/?search=3408 N GREENVIEW AVE", "3408 N GREENVIEW AVE")</f>
        <v>0</v>
      </c>
      <c r="N13" t="s">
        <v>602</v>
      </c>
      <c r="P13" t="s">
        <v>614</v>
      </c>
      <c r="Q13" t="s">
        <v>791</v>
      </c>
      <c r="U13">
        <f>HYPERLINK("https://www.cookcountyassessoril.gov/pin/14203090310000", "14-20-309-031-0000")</f>
        <v>0</v>
      </c>
      <c r="V13" t="s">
        <v>970</v>
      </c>
    </row>
    <row r="14" spans="1:23">
      <c r="A14">
        <v>13</v>
      </c>
      <c r="B14" t="s">
        <v>35</v>
      </c>
      <c r="C14" t="s">
        <v>217</v>
      </c>
      <c r="D14" t="s">
        <v>412</v>
      </c>
      <c r="I14">
        <v>50000</v>
      </c>
      <c r="K14" t="s">
        <v>432</v>
      </c>
      <c r="L14">
        <f>HYPERLINK("https://maps.cookcountyil.gov/cookviewer/?search=4332 N PAULINA ST", "4332 N PAULINA ST")</f>
        <v>0</v>
      </c>
      <c r="N14" t="s">
        <v>602</v>
      </c>
      <c r="P14" t="s">
        <v>615</v>
      </c>
      <c r="Q14" t="s">
        <v>792</v>
      </c>
      <c r="U14" t="s">
        <v>969</v>
      </c>
      <c r="V14" t="s">
        <v>970</v>
      </c>
    </row>
    <row r="15" spans="1:23">
      <c r="A15">
        <v>14</v>
      </c>
      <c r="B15" t="s">
        <v>36</v>
      </c>
      <c r="C15" t="s">
        <v>218</v>
      </c>
      <c r="D15" t="s">
        <v>414</v>
      </c>
      <c r="I15">
        <v>7700</v>
      </c>
      <c r="K15" t="s">
        <v>433</v>
      </c>
      <c r="L15">
        <f>HYPERLINK("https://maps.cookcountyil.gov/cookviewer/?search=8300 S MAY ST", "8300 S MAY ST")</f>
        <v>0</v>
      </c>
      <c r="N15" t="s">
        <v>602</v>
      </c>
      <c r="P15" t="s">
        <v>616</v>
      </c>
      <c r="Q15" t="s">
        <v>793</v>
      </c>
      <c r="U15">
        <f>HYPERLINK("https://www.cookcountyassessoril.gov/pin/20324000200000", "20-32-400-020-0000")</f>
        <v>0</v>
      </c>
      <c r="V15" t="s">
        <v>970</v>
      </c>
    </row>
    <row r="16" spans="1:23">
      <c r="A16">
        <v>15</v>
      </c>
      <c r="B16" t="s">
        <v>37</v>
      </c>
      <c r="C16" t="s">
        <v>219</v>
      </c>
      <c r="D16" t="s">
        <v>408</v>
      </c>
      <c r="I16">
        <v>3750</v>
      </c>
      <c r="K16" t="s">
        <v>434</v>
      </c>
      <c r="L16">
        <f>HYPERLINK("https://maps.cookcountyil.gov/cookviewer/?search=3407 S ABERDEEN ST", "3407 S ABERDEEN ST")</f>
        <v>0</v>
      </c>
      <c r="N16" t="s">
        <v>602</v>
      </c>
      <c r="P16" t="s">
        <v>617</v>
      </c>
      <c r="Q16" t="s">
        <v>794</v>
      </c>
      <c r="U16">
        <f>HYPERLINK("https://www.cookcountyassessoril.gov/pin/17322170400000", "17-32-217-040-0000")</f>
        <v>0</v>
      </c>
      <c r="V16" t="s">
        <v>970</v>
      </c>
    </row>
    <row r="17" spans="1:22">
      <c r="A17">
        <v>16</v>
      </c>
      <c r="B17" t="s">
        <v>38</v>
      </c>
      <c r="C17" t="s">
        <v>220</v>
      </c>
      <c r="D17" t="s">
        <v>410</v>
      </c>
      <c r="I17">
        <v>2340</v>
      </c>
      <c r="K17" t="s">
        <v>435</v>
      </c>
      <c r="L17">
        <f>HYPERLINK("https://maps.cookcountyil.gov/cookviewer/?search=3530 N LINCOLN AVE", "3530 N LINCOLN AVE")</f>
        <v>0</v>
      </c>
      <c r="N17" t="s">
        <v>602</v>
      </c>
      <c r="P17" t="s">
        <v>618</v>
      </c>
      <c r="Q17" t="s">
        <v>795</v>
      </c>
      <c r="U17" t="s">
        <v>969</v>
      </c>
      <c r="V17" t="s">
        <v>970</v>
      </c>
    </row>
    <row r="18" spans="1:22">
      <c r="A18">
        <v>17</v>
      </c>
      <c r="B18" t="s">
        <v>39</v>
      </c>
      <c r="C18" t="s">
        <v>221</v>
      </c>
      <c r="D18" t="s">
        <v>410</v>
      </c>
      <c r="I18">
        <v>1120</v>
      </c>
      <c r="K18" t="s">
        <v>436</v>
      </c>
      <c r="L18">
        <f>HYPERLINK("https://maps.cookcountyil.gov/cookviewer/?search=3542 W SUNNYSIDE AVE", "3542 W SUNNYSIDE AVE")</f>
        <v>0</v>
      </c>
      <c r="N18" t="s">
        <v>602</v>
      </c>
      <c r="P18" t="s">
        <v>619</v>
      </c>
      <c r="Q18" t="s">
        <v>796</v>
      </c>
      <c r="U18" t="s">
        <v>969</v>
      </c>
      <c r="V18" t="s">
        <v>970</v>
      </c>
    </row>
    <row r="19" spans="1:22">
      <c r="A19">
        <v>18</v>
      </c>
      <c r="B19" t="s">
        <v>40</v>
      </c>
      <c r="C19" t="s">
        <v>222</v>
      </c>
      <c r="D19" t="s">
        <v>412</v>
      </c>
      <c r="I19">
        <v>5000</v>
      </c>
      <c r="K19" t="s">
        <v>437</v>
      </c>
      <c r="L19">
        <f>HYPERLINK("https://maps.cookcountyil.gov/cookviewer/?search=4407 S WOLCOTT AVE", "4407 S WOLCOTT AVE")</f>
        <v>0</v>
      </c>
      <c r="N19" t="s">
        <v>602</v>
      </c>
      <c r="P19" t="s">
        <v>620</v>
      </c>
      <c r="Q19" t="s">
        <v>797</v>
      </c>
      <c r="U19">
        <f>HYPERLINK("https://www.cookcountyassessoril.gov/pin/20064070490000", "20-06-407-049-0000")</f>
        <v>0</v>
      </c>
      <c r="V19" t="s">
        <v>970</v>
      </c>
    </row>
    <row r="20" spans="1:22">
      <c r="A20">
        <v>19</v>
      </c>
      <c r="B20" t="s">
        <v>41</v>
      </c>
      <c r="C20" t="s">
        <v>223</v>
      </c>
      <c r="D20" t="s">
        <v>412</v>
      </c>
      <c r="I20">
        <v>8619</v>
      </c>
      <c r="K20" t="s">
        <v>438</v>
      </c>
      <c r="L20">
        <f>HYPERLINK("https://maps.cookcountyil.gov/cookviewer/?search=9935 S PROSPECT AVE", "9935 S PROSPECT AVE")</f>
        <v>0</v>
      </c>
      <c r="N20" t="s">
        <v>602</v>
      </c>
      <c r="P20" t="s">
        <v>621</v>
      </c>
      <c r="Q20" t="s">
        <v>798</v>
      </c>
      <c r="U20">
        <f>HYPERLINK("https://www.cookcountyassessoril.gov/pin/25083000080000", "25-08-300-008-0000")</f>
        <v>0</v>
      </c>
      <c r="V20" t="s">
        <v>970</v>
      </c>
    </row>
    <row r="21" spans="1:22">
      <c r="A21">
        <v>20</v>
      </c>
      <c r="B21" t="s">
        <v>42</v>
      </c>
      <c r="C21" t="s">
        <v>224</v>
      </c>
      <c r="D21" t="s">
        <v>412</v>
      </c>
      <c r="I21">
        <v>2000</v>
      </c>
      <c r="K21" t="s">
        <v>439</v>
      </c>
      <c r="L21">
        <f>HYPERLINK("https://maps.cookcountyil.gov/cookviewer/?search=3628 W 68TH ST", "3628 W 68TH ST")</f>
        <v>0</v>
      </c>
      <c r="N21" t="s">
        <v>602</v>
      </c>
      <c r="P21" t="s">
        <v>622</v>
      </c>
      <c r="Q21" t="s">
        <v>799</v>
      </c>
      <c r="U21">
        <f>HYPERLINK("https://www.cookcountyassessoril.gov/pin/19233070340000", "19-23-307-034-0000")</f>
        <v>0</v>
      </c>
      <c r="V21" t="s">
        <v>970</v>
      </c>
    </row>
    <row r="22" spans="1:22">
      <c r="A22">
        <v>21</v>
      </c>
      <c r="B22" t="s">
        <v>43</v>
      </c>
      <c r="C22" t="s">
        <v>225</v>
      </c>
      <c r="D22" t="s">
        <v>410</v>
      </c>
      <c r="I22">
        <v>9762</v>
      </c>
      <c r="K22" t="s">
        <v>440</v>
      </c>
      <c r="L22">
        <f>HYPERLINK("https://maps.cookcountyil.gov/cookviewer/?search=6123 S MONITOR AVE", "6123 S MONITOR AVE")</f>
        <v>0</v>
      </c>
      <c r="N22" t="s">
        <v>602</v>
      </c>
      <c r="P22" t="s">
        <v>623</v>
      </c>
      <c r="Q22" t="s">
        <v>800</v>
      </c>
      <c r="U22">
        <f>HYPERLINK("https://www.cookcountyassessoril.gov/pin/19174190080000", "19-17-419-008-0000")</f>
        <v>0</v>
      </c>
      <c r="V22" t="s">
        <v>970</v>
      </c>
    </row>
    <row r="23" spans="1:22">
      <c r="A23">
        <v>22</v>
      </c>
      <c r="B23" t="s">
        <v>44</v>
      </c>
      <c r="C23" t="s">
        <v>226</v>
      </c>
      <c r="D23" t="s">
        <v>412</v>
      </c>
      <c r="I23">
        <v>1000</v>
      </c>
      <c r="K23" t="s">
        <v>441</v>
      </c>
      <c r="L23">
        <f>HYPERLINK("https://maps.cookcountyil.gov/cookviewer/?search=8116 S FAIRFIELD AVE", "8116 S FAIRFIELD AVE")</f>
        <v>0</v>
      </c>
      <c r="N23" t="s">
        <v>602</v>
      </c>
      <c r="P23" t="s">
        <v>624</v>
      </c>
      <c r="Q23" t="s">
        <v>801</v>
      </c>
      <c r="U23">
        <f>HYPERLINK("https://www.cookcountyassessoril.gov/pin/19362160330000", "19-36-216-033-0000")</f>
        <v>0</v>
      </c>
      <c r="V23" t="s">
        <v>970</v>
      </c>
    </row>
    <row r="24" spans="1:22">
      <c r="A24">
        <v>23</v>
      </c>
      <c r="B24" t="s">
        <v>45</v>
      </c>
      <c r="C24" t="s">
        <v>227</v>
      </c>
      <c r="D24" t="s">
        <v>412</v>
      </c>
      <c r="I24">
        <v>19500</v>
      </c>
      <c r="K24" t="s">
        <v>442</v>
      </c>
      <c r="L24">
        <f>HYPERLINK("https://maps.cookcountyil.gov/cookviewer/?search=7712 W NORTH SHORE AVE", "7712 W NORTH SHORE AVE")</f>
        <v>0</v>
      </c>
      <c r="N24" t="s">
        <v>602</v>
      </c>
      <c r="P24" t="s">
        <v>625</v>
      </c>
      <c r="Q24" t="s">
        <v>802</v>
      </c>
      <c r="U24">
        <f>HYPERLINK("https://www.cookcountyassessoril.gov/pin/09363070380000", "09-36-307-038-0000")</f>
        <v>0</v>
      </c>
      <c r="V24" t="s">
        <v>971</v>
      </c>
    </row>
    <row r="25" spans="1:22">
      <c r="A25">
        <v>24</v>
      </c>
      <c r="B25" t="s">
        <v>46</v>
      </c>
      <c r="C25" t="s">
        <v>228</v>
      </c>
      <c r="D25" t="s">
        <v>412</v>
      </c>
      <c r="I25">
        <v>31880</v>
      </c>
      <c r="K25" t="s">
        <v>443</v>
      </c>
      <c r="L25">
        <f>HYPERLINK("https://maps.cookcountyil.gov/cookviewer/?search=3647 W 85TH ST", "3647 W 85TH ST")</f>
        <v>0</v>
      </c>
      <c r="N25" t="s">
        <v>602</v>
      </c>
      <c r="P25" t="s">
        <v>626</v>
      </c>
      <c r="Q25" t="s">
        <v>803</v>
      </c>
      <c r="U25">
        <f>HYPERLINK("https://www.cookcountyassessoril.gov/pin/19353250350000", "19-35-325-035-0000")</f>
        <v>0</v>
      </c>
      <c r="V25" t="s">
        <v>971</v>
      </c>
    </row>
    <row r="26" spans="1:22">
      <c r="A26">
        <v>25</v>
      </c>
      <c r="B26" t="s">
        <v>47</v>
      </c>
      <c r="C26" t="s">
        <v>229</v>
      </c>
      <c r="D26" t="s">
        <v>412</v>
      </c>
      <c r="I26">
        <v>10000</v>
      </c>
      <c r="K26" t="s">
        <v>444</v>
      </c>
      <c r="L26">
        <f>HYPERLINK("https://maps.cookcountyil.gov/cookviewer/?search=5644 S NEWLAND AVE", "5644 S NEWLAND AVE")</f>
        <v>0</v>
      </c>
      <c r="N26" t="s">
        <v>602</v>
      </c>
      <c r="P26" t="s">
        <v>627</v>
      </c>
      <c r="Q26" t="s">
        <v>804</v>
      </c>
      <c r="U26">
        <f>HYPERLINK("https://www.cookcountyassessoril.gov/pin/19181120170000", "19-18-112-017-0000")</f>
        <v>0</v>
      </c>
      <c r="V26" t="s">
        <v>971</v>
      </c>
    </row>
    <row r="27" spans="1:22">
      <c r="A27">
        <v>26</v>
      </c>
      <c r="B27" t="s">
        <v>48</v>
      </c>
      <c r="C27" t="s">
        <v>230</v>
      </c>
      <c r="D27" t="s">
        <v>405</v>
      </c>
      <c r="I27">
        <v>16000</v>
      </c>
      <c r="K27" t="s">
        <v>445</v>
      </c>
      <c r="L27">
        <f>HYPERLINK("https://maps.cookcountyil.gov/cookviewer/?search=4525 S SPAULDING AVE", "4525 S SPAULDING AVE")</f>
        <v>0</v>
      </c>
      <c r="N27" t="s">
        <v>602</v>
      </c>
      <c r="P27" t="s">
        <v>628</v>
      </c>
      <c r="Q27" t="s">
        <v>805</v>
      </c>
      <c r="U27" t="s">
        <v>969</v>
      </c>
      <c r="V27" t="s">
        <v>970</v>
      </c>
    </row>
    <row r="28" spans="1:22">
      <c r="A28">
        <v>27</v>
      </c>
      <c r="B28" t="s">
        <v>49</v>
      </c>
      <c r="C28" t="s">
        <v>231</v>
      </c>
      <c r="D28" t="s">
        <v>412</v>
      </c>
      <c r="I28">
        <v>39500</v>
      </c>
      <c r="K28" t="s">
        <v>446</v>
      </c>
      <c r="L28">
        <f>HYPERLINK("https://maps.cookcountyil.gov/cookviewer/?search=4438 N WHIPPLE ST", "4438 N WHIPPLE ST")</f>
        <v>0</v>
      </c>
      <c r="N28" t="s">
        <v>602</v>
      </c>
      <c r="P28" t="s">
        <v>629</v>
      </c>
      <c r="Q28" t="s">
        <v>806</v>
      </c>
      <c r="U28" t="s">
        <v>969</v>
      </c>
      <c r="V28" t="s">
        <v>971</v>
      </c>
    </row>
    <row r="29" spans="1:22">
      <c r="A29">
        <v>28</v>
      </c>
      <c r="B29" t="s">
        <v>50</v>
      </c>
      <c r="C29" t="s">
        <v>232</v>
      </c>
      <c r="D29" t="s">
        <v>412</v>
      </c>
      <c r="I29">
        <v>17900</v>
      </c>
      <c r="K29" t="s">
        <v>447</v>
      </c>
      <c r="L29">
        <f>HYPERLINK("https://maps.cookcountyil.gov/cookviewer/?search=11030 S RIDGEWAY AVE", "11030 S RIDGEWAY AVE")</f>
        <v>0</v>
      </c>
      <c r="N29" t="s">
        <v>602</v>
      </c>
      <c r="P29" t="s">
        <v>630</v>
      </c>
      <c r="Q29" t="s">
        <v>807</v>
      </c>
      <c r="U29">
        <f>HYPERLINK("https://www.cookcountyassessoril.gov/pin/24143230220000", "24-14-323-022-0000")</f>
        <v>0</v>
      </c>
      <c r="V29" t="s">
        <v>971</v>
      </c>
    </row>
    <row r="30" spans="1:22">
      <c r="A30">
        <v>29</v>
      </c>
      <c r="B30" t="s">
        <v>51</v>
      </c>
      <c r="C30" t="s">
        <v>233</v>
      </c>
      <c r="D30" t="s">
        <v>412</v>
      </c>
      <c r="I30">
        <v>4900</v>
      </c>
      <c r="K30" t="s">
        <v>448</v>
      </c>
      <c r="L30">
        <f>HYPERLINK("https://maps.cookcountyil.gov/cookviewer/?search=2736 W BERWYN AVE", "2736 W BERWYN AVE")</f>
        <v>0</v>
      </c>
      <c r="N30" t="s">
        <v>602</v>
      </c>
      <c r="P30" t="s">
        <v>631</v>
      </c>
      <c r="Q30" t="s">
        <v>808</v>
      </c>
      <c r="U30">
        <f>HYPERLINK("https://www.cookcountyassessoril.gov/pin/13122220470000", "13-12-222-047-0000")</f>
        <v>0</v>
      </c>
      <c r="V30" t="s">
        <v>971</v>
      </c>
    </row>
    <row r="31" spans="1:22">
      <c r="A31">
        <v>30</v>
      </c>
      <c r="B31" t="s">
        <v>49</v>
      </c>
      <c r="C31" t="s">
        <v>234</v>
      </c>
      <c r="D31" t="s">
        <v>414</v>
      </c>
      <c r="I31">
        <v>71395</v>
      </c>
      <c r="K31" t="s">
        <v>446</v>
      </c>
      <c r="L31">
        <f>HYPERLINK("https://maps.cookcountyil.gov/cookviewer/?search=4438 N WHIPPLE ST", "4438 N WHIPPLE ST")</f>
        <v>0</v>
      </c>
      <c r="N31" t="s">
        <v>602</v>
      </c>
      <c r="P31" t="s">
        <v>629</v>
      </c>
      <c r="Q31" t="s">
        <v>809</v>
      </c>
      <c r="U31" t="s">
        <v>969</v>
      </c>
      <c r="V31" t="s">
        <v>970</v>
      </c>
    </row>
    <row r="32" spans="1:22">
      <c r="A32">
        <v>31</v>
      </c>
      <c r="B32" t="s">
        <v>52</v>
      </c>
      <c r="C32" t="s">
        <v>235</v>
      </c>
      <c r="D32" t="s">
        <v>412</v>
      </c>
      <c r="I32">
        <v>30754</v>
      </c>
      <c r="K32" t="s">
        <v>449</v>
      </c>
      <c r="L32">
        <f>HYPERLINK("https://maps.cookcountyil.gov/cookviewer/?search=8909 S EAST END AVE", "8909 S EAST END AVE")</f>
        <v>0</v>
      </c>
      <c r="N32" t="s">
        <v>602</v>
      </c>
      <c r="P32" t="s">
        <v>632</v>
      </c>
      <c r="Q32" t="s">
        <v>810</v>
      </c>
      <c r="U32">
        <f>HYPERLINK("https://www.cookcountyassessoril.gov/pin/25011200030000", "25-01-120-003-0000")</f>
        <v>0</v>
      </c>
      <c r="V32" t="s">
        <v>971</v>
      </c>
    </row>
    <row r="33" spans="1:22">
      <c r="A33">
        <v>32</v>
      </c>
      <c r="B33" t="s">
        <v>53</v>
      </c>
      <c r="C33" t="s">
        <v>236</v>
      </c>
      <c r="D33" t="s">
        <v>412</v>
      </c>
      <c r="I33">
        <v>22917</v>
      </c>
      <c r="K33" t="s">
        <v>450</v>
      </c>
      <c r="L33">
        <f>HYPERLINK("https://maps.cookcountyil.gov/cookviewer/?search=10614 S EBERHART AVE", "10614 S EBERHART AVE")</f>
        <v>0</v>
      </c>
      <c r="N33" t="s">
        <v>602</v>
      </c>
      <c r="P33" t="s">
        <v>633</v>
      </c>
      <c r="Q33" t="s">
        <v>811</v>
      </c>
      <c r="U33">
        <f>HYPERLINK("https://www.cookcountyassessoril.gov/pin/25152240200000", "25-15-224-020-0000")</f>
        <v>0</v>
      </c>
      <c r="V33" t="s">
        <v>971</v>
      </c>
    </row>
    <row r="34" spans="1:22">
      <c r="A34">
        <v>33</v>
      </c>
      <c r="B34" t="s">
        <v>54</v>
      </c>
      <c r="C34" t="s">
        <v>237</v>
      </c>
      <c r="D34" t="s">
        <v>412</v>
      </c>
      <c r="I34">
        <v>16795</v>
      </c>
      <c r="K34" t="s">
        <v>451</v>
      </c>
      <c r="L34">
        <f>HYPERLINK("https://maps.cookcountyil.gov/cookviewer/?search=10800 S HALE AVE", "10800 S HALE AVE")</f>
        <v>0</v>
      </c>
      <c r="N34" t="s">
        <v>602</v>
      </c>
      <c r="P34" t="s">
        <v>634</v>
      </c>
      <c r="Q34" t="s">
        <v>812</v>
      </c>
      <c r="U34">
        <f>HYPERLINK("https://www.cookcountyassessoril.gov/pin/25184010200000", "25-18-401-020-0000")</f>
        <v>0</v>
      </c>
      <c r="V34" t="s">
        <v>971</v>
      </c>
    </row>
    <row r="35" spans="1:22">
      <c r="A35">
        <v>34</v>
      </c>
      <c r="B35" t="s">
        <v>55</v>
      </c>
      <c r="C35" t="s">
        <v>238</v>
      </c>
      <c r="D35" t="s">
        <v>412</v>
      </c>
      <c r="I35">
        <v>2050000</v>
      </c>
      <c r="K35" t="s">
        <v>452</v>
      </c>
      <c r="L35">
        <f>HYPERLINK("https://maps.cookcountyil.gov/cookviewer/?search=2403 N OAKLEY AVE", "2403 N OAKLEY AVE")</f>
        <v>0</v>
      </c>
      <c r="N35" t="s">
        <v>602</v>
      </c>
      <c r="P35" t="s">
        <v>635</v>
      </c>
      <c r="Q35" t="s">
        <v>813</v>
      </c>
      <c r="U35">
        <f>HYPERLINK("https://www.cookcountyassessoril.gov/pin/14303180010000", "14-30-318-001-0000"), =HYPERLINK("https://www.cookcountyassessoril.gov/pin/14303180350000", "14-30-318-035-0000")</f>
        <v>0</v>
      </c>
      <c r="V35" t="s">
        <v>970</v>
      </c>
    </row>
    <row r="36" spans="1:22">
      <c r="A36">
        <v>35</v>
      </c>
      <c r="B36" t="s">
        <v>56</v>
      </c>
      <c r="C36" t="s">
        <v>239</v>
      </c>
      <c r="D36" t="s">
        <v>410</v>
      </c>
      <c r="I36">
        <v>36000</v>
      </c>
      <c r="K36" t="s">
        <v>453</v>
      </c>
      <c r="L36">
        <f>HYPERLINK("https://maps.cookcountyil.gov/cookviewer/?search=5438 S RIDGEWOOD CT", "5438 S RIDGEWOOD CT")</f>
        <v>0</v>
      </c>
      <c r="N36" t="s">
        <v>602</v>
      </c>
      <c r="P36" t="s">
        <v>636</v>
      </c>
      <c r="Q36" t="s">
        <v>814</v>
      </c>
      <c r="U36">
        <f>HYPERLINK("https://www.cookcountyassessoril.gov/pin/20114220140000", "20-11-422-014-0000")</f>
        <v>0</v>
      </c>
      <c r="V36" t="s">
        <v>971</v>
      </c>
    </row>
    <row r="37" spans="1:22">
      <c r="A37">
        <v>36</v>
      </c>
      <c r="B37" t="s">
        <v>57</v>
      </c>
      <c r="C37" t="s">
        <v>240</v>
      </c>
      <c r="D37" t="s">
        <v>415</v>
      </c>
      <c r="I37">
        <v>5000</v>
      </c>
      <c r="K37" t="s">
        <v>454</v>
      </c>
      <c r="L37">
        <f>HYPERLINK("https://maps.cookcountyil.gov/cookviewer/?search=4018 N SACRAMENTO AVE", "4018 N SACRAMENTO AVE")</f>
        <v>0</v>
      </c>
      <c r="N37" t="s">
        <v>602</v>
      </c>
      <c r="P37" t="s">
        <v>637</v>
      </c>
      <c r="Q37" t="s">
        <v>815</v>
      </c>
      <c r="U37">
        <f>HYPERLINK("https://www.cookcountyassessoril.gov/pin/13133270230000", "13-13-327-023-0000")</f>
        <v>0</v>
      </c>
      <c r="V37" t="s">
        <v>970</v>
      </c>
    </row>
    <row r="38" spans="1:22">
      <c r="A38">
        <v>37</v>
      </c>
      <c r="B38" t="s">
        <v>58</v>
      </c>
      <c r="C38" t="s">
        <v>241</v>
      </c>
      <c r="D38" t="s">
        <v>412</v>
      </c>
      <c r="I38">
        <v>4800</v>
      </c>
      <c r="K38" t="s">
        <v>455</v>
      </c>
      <c r="L38">
        <f>HYPERLINK("https://maps.cookcountyil.gov/cookviewer/?search=1539 N MAYFIELD AVE", "1539 N MAYFIELD AVE")</f>
        <v>0</v>
      </c>
      <c r="N38" t="s">
        <v>602</v>
      </c>
      <c r="P38" t="s">
        <v>638</v>
      </c>
      <c r="Q38" t="s">
        <v>816</v>
      </c>
      <c r="U38">
        <f>HYPERLINK("https://www.cookcountyassessoril.gov/pin/16052020070000", "16-05-202-007-0000")</f>
        <v>0</v>
      </c>
      <c r="V38" t="s">
        <v>970</v>
      </c>
    </row>
    <row r="39" spans="1:22">
      <c r="A39">
        <v>38</v>
      </c>
      <c r="B39" t="s">
        <v>59</v>
      </c>
      <c r="C39" t="s">
        <v>242</v>
      </c>
      <c r="D39" t="s">
        <v>414</v>
      </c>
      <c r="I39">
        <v>17500</v>
      </c>
      <c r="K39" t="s">
        <v>456</v>
      </c>
      <c r="L39">
        <f>HYPERLINK("https://maps.cookcountyil.gov/cookviewer/?search=850 N LAKE SHORE DR", "850 N LAKE SHORE DR")</f>
        <v>0</v>
      </c>
      <c r="N39" t="s">
        <v>602</v>
      </c>
      <c r="P39" t="s">
        <v>639</v>
      </c>
      <c r="Q39" t="s">
        <v>817</v>
      </c>
      <c r="U39">
        <f>HYPERLINK("https://www.cookcountyassessoril.gov/pin/17032280040000", "17-03-228-004-0000"), =HYPERLINK("https://www.cookcountyassessoril.gov/pin/17032280050000", "17-03-228-005-0000")</f>
        <v>0</v>
      </c>
      <c r="V39" t="s">
        <v>970</v>
      </c>
    </row>
    <row r="40" spans="1:22">
      <c r="A40">
        <v>39</v>
      </c>
      <c r="B40" t="s">
        <v>60</v>
      </c>
      <c r="C40" t="s">
        <v>243</v>
      </c>
      <c r="D40" t="s">
        <v>412</v>
      </c>
      <c r="I40">
        <v>5000</v>
      </c>
      <c r="K40" t="s">
        <v>457</v>
      </c>
      <c r="L40">
        <f>HYPERLINK("https://maps.cookcountyil.gov/cookviewer/?search=191 N WACKER DR", "191 N WACKER DR")</f>
        <v>0</v>
      </c>
      <c r="N40" t="s">
        <v>602</v>
      </c>
      <c r="P40" t="s">
        <v>640</v>
      </c>
      <c r="Q40" t="s">
        <v>818</v>
      </c>
      <c r="U40">
        <f>HYPERLINK("https://www.cookcountyassessoril.gov/pin/17094280010000", "17-09-428-001-0000")</f>
        <v>0</v>
      </c>
      <c r="V40" t="s">
        <v>970</v>
      </c>
    </row>
    <row r="41" spans="1:22">
      <c r="A41">
        <v>40</v>
      </c>
      <c r="B41" t="s">
        <v>61</v>
      </c>
      <c r="C41" t="s">
        <v>244</v>
      </c>
      <c r="D41" t="s">
        <v>412</v>
      </c>
      <c r="I41">
        <v>2000</v>
      </c>
      <c r="K41" t="s">
        <v>458</v>
      </c>
      <c r="L41">
        <f>HYPERLINK("https://maps.cookcountyil.gov/cookviewer/?search=5100 N NASHVILLE AVE", "5100 N NASHVILLE AVE")</f>
        <v>0</v>
      </c>
      <c r="N41" t="s">
        <v>602</v>
      </c>
      <c r="P41" t="s">
        <v>641</v>
      </c>
      <c r="Q41" t="s">
        <v>799</v>
      </c>
      <c r="U41">
        <f>HYPERLINK("https://www.cookcountyassessoril.gov/pin/13074040350000", "13-07-404-035-0000")</f>
        <v>0</v>
      </c>
      <c r="V41" t="s">
        <v>970</v>
      </c>
    </row>
    <row r="42" spans="1:22">
      <c r="A42">
        <v>41</v>
      </c>
      <c r="B42" t="s">
        <v>62</v>
      </c>
      <c r="C42" t="s">
        <v>245</v>
      </c>
      <c r="D42" t="s">
        <v>410</v>
      </c>
      <c r="I42">
        <v>47500</v>
      </c>
      <c r="K42" t="s">
        <v>459</v>
      </c>
      <c r="L42">
        <f>HYPERLINK("https://maps.cookcountyil.gov/cookviewer/?search=2214 W BARRY AVE", "2214 W BARRY AVE")</f>
        <v>0</v>
      </c>
      <c r="N42" t="s">
        <v>602</v>
      </c>
      <c r="P42" t="s">
        <v>642</v>
      </c>
      <c r="Q42" t="s">
        <v>819</v>
      </c>
      <c r="U42" t="s">
        <v>969</v>
      </c>
      <c r="V42" t="s">
        <v>971</v>
      </c>
    </row>
    <row r="43" spans="1:22">
      <c r="A43">
        <v>42</v>
      </c>
      <c r="B43" t="s">
        <v>63</v>
      </c>
      <c r="C43" t="s">
        <v>246</v>
      </c>
      <c r="D43" t="s">
        <v>412</v>
      </c>
      <c r="I43">
        <v>4700</v>
      </c>
      <c r="K43" t="s">
        <v>460</v>
      </c>
      <c r="L43">
        <f>HYPERLINK("https://maps.cookcountyil.gov/cookviewer/?search=10512 S AVENUE M", "10512 S AVENUE M")</f>
        <v>0</v>
      </c>
      <c r="N43" t="s">
        <v>602</v>
      </c>
      <c r="P43" t="s">
        <v>643</v>
      </c>
      <c r="Q43" t="s">
        <v>820</v>
      </c>
      <c r="U43">
        <f>HYPERLINK("https://www.cookcountyassessoril.gov/pin/26083270260000", "26-08-327-026-0000")</f>
        <v>0</v>
      </c>
      <c r="V43" t="s">
        <v>970</v>
      </c>
    </row>
    <row r="44" spans="1:22">
      <c r="A44">
        <v>43</v>
      </c>
      <c r="B44" t="s">
        <v>64</v>
      </c>
      <c r="C44" t="s">
        <v>247</v>
      </c>
      <c r="D44" t="s">
        <v>413</v>
      </c>
      <c r="I44">
        <v>203281</v>
      </c>
      <c r="K44" t="s">
        <v>461</v>
      </c>
      <c r="L44">
        <f>HYPERLINK("https://maps.cookcountyil.gov/cookviewer/?search=450 W BRIAR PL", "450 W BRIAR PL")</f>
        <v>0</v>
      </c>
      <c r="N44" t="s">
        <v>602</v>
      </c>
      <c r="P44" t="s">
        <v>644</v>
      </c>
      <c r="Q44" t="s">
        <v>821</v>
      </c>
      <c r="U44" t="s">
        <v>969</v>
      </c>
      <c r="V44" t="s">
        <v>970</v>
      </c>
    </row>
    <row r="45" spans="1:22">
      <c r="A45">
        <v>44</v>
      </c>
      <c r="B45" t="s">
        <v>65</v>
      </c>
      <c r="C45" t="s">
        <v>248</v>
      </c>
      <c r="D45" t="s">
        <v>412</v>
      </c>
      <c r="I45">
        <v>125000</v>
      </c>
      <c r="K45" t="s">
        <v>462</v>
      </c>
      <c r="L45">
        <f>HYPERLINK("https://maps.cookcountyil.gov/cookviewer/?search=7415 N DAMEN AVE", "7415 N DAMEN AVE")</f>
        <v>0</v>
      </c>
      <c r="N45" t="s">
        <v>602</v>
      </c>
      <c r="P45" t="s">
        <v>645</v>
      </c>
      <c r="Q45" t="s">
        <v>822</v>
      </c>
      <c r="U45">
        <f>HYPERLINK("https://www.cookcountyassessoril.gov/pin/11304060040000", "11-30-406-004-0000")</f>
        <v>0</v>
      </c>
      <c r="V45" t="s">
        <v>971</v>
      </c>
    </row>
    <row r="46" spans="1:22">
      <c r="A46">
        <v>45</v>
      </c>
      <c r="B46" t="s">
        <v>66</v>
      </c>
      <c r="C46" t="s">
        <v>249</v>
      </c>
      <c r="D46" t="s">
        <v>412</v>
      </c>
      <c r="I46">
        <v>150000</v>
      </c>
      <c r="K46" t="s">
        <v>463</v>
      </c>
      <c r="L46">
        <f>HYPERLINK("https://maps.cookcountyil.gov/cookviewer/?search=2000 W FARGO AVE", "2000 W FARGO AVE")</f>
        <v>0</v>
      </c>
      <c r="N46" t="s">
        <v>602</v>
      </c>
      <c r="P46" t="s">
        <v>645</v>
      </c>
      <c r="Q46" t="s">
        <v>823</v>
      </c>
      <c r="U46">
        <f>HYPERLINK("https://www.cookcountyassessoril.gov/pin/11303130200000", "11-30-313-020-0000")</f>
        <v>0</v>
      </c>
      <c r="V46" t="s">
        <v>971</v>
      </c>
    </row>
    <row r="47" spans="1:22">
      <c r="A47">
        <v>46</v>
      </c>
      <c r="B47" t="s">
        <v>67</v>
      </c>
      <c r="C47" t="s">
        <v>250</v>
      </c>
      <c r="D47" t="s">
        <v>412</v>
      </c>
      <c r="I47">
        <v>125000</v>
      </c>
      <c r="K47" t="s">
        <v>464</v>
      </c>
      <c r="L47">
        <f>HYPERLINK("https://maps.cookcountyil.gov/cookviewer/?search=7405 N DAMEN AVE", "7405 N DAMEN AVE")</f>
        <v>0</v>
      </c>
      <c r="N47" t="s">
        <v>602</v>
      </c>
      <c r="P47" t="s">
        <v>645</v>
      </c>
      <c r="Q47" t="s">
        <v>822</v>
      </c>
      <c r="U47">
        <f>HYPERLINK("https://www.cookcountyassessoril.gov/pin/11304060050000", "11-30-406-005-0000")</f>
        <v>0</v>
      </c>
      <c r="V47" t="s">
        <v>971</v>
      </c>
    </row>
    <row r="48" spans="1:22">
      <c r="A48">
        <v>47</v>
      </c>
      <c r="B48" t="s">
        <v>68</v>
      </c>
      <c r="C48" t="s">
        <v>251</v>
      </c>
      <c r="D48" t="s">
        <v>412</v>
      </c>
      <c r="I48">
        <v>42967</v>
      </c>
      <c r="K48" t="s">
        <v>465</v>
      </c>
      <c r="L48">
        <f>HYPERLINK("https://maps.cookcountyil.gov/cookviewer/?search=1625 N LONG AVE", "1625 N LONG AVE")</f>
        <v>0</v>
      </c>
      <c r="N48" t="s">
        <v>602</v>
      </c>
      <c r="P48" t="s">
        <v>646</v>
      </c>
      <c r="Q48" t="s">
        <v>824</v>
      </c>
      <c r="U48">
        <f>HYPERLINK("https://www.cookcountyassessoril.gov/pin/13333230120000", "13-33-323-012-0000")</f>
        <v>0</v>
      </c>
      <c r="V48" t="s">
        <v>970</v>
      </c>
    </row>
    <row r="49" spans="1:22">
      <c r="A49">
        <v>48</v>
      </c>
      <c r="B49" t="s">
        <v>69</v>
      </c>
      <c r="C49" t="s">
        <v>252</v>
      </c>
      <c r="D49" t="s">
        <v>412</v>
      </c>
      <c r="I49">
        <v>2500</v>
      </c>
      <c r="K49" t="s">
        <v>466</v>
      </c>
      <c r="L49">
        <f>HYPERLINK("https://maps.cookcountyil.gov/cookviewer/?search=2925 N LINDER AVE", "2925 N LINDER AVE")</f>
        <v>0</v>
      </c>
      <c r="N49" t="s">
        <v>602</v>
      </c>
      <c r="P49" t="s">
        <v>647</v>
      </c>
      <c r="Q49" t="s">
        <v>825</v>
      </c>
      <c r="U49">
        <f>HYPERLINK("https://www.cookcountyassessoril.gov/pin/13281180100000", "13-28-118-010-0000")</f>
        <v>0</v>
      </c>
      <c r="V49" t="s">
        <v>970</v>
      </c>
    </row>
    <row r="50" spans="1:22">
      <c r="A50">
        <v>49</v>
      </c>
      <c r="B50" t="s">
        <v>70</v>
      </c>
      <c r="C50" t="s">
        <v>253</v>
      </c>
      <c r="D50" t="s">
        <v>409</v>
      </c>
      <c r="I50">
        <v>19022</v>
      </c>
      <c r="K50" t="s">
        <v>467</v>
      </c>
      <c r="L50">
        <f>HYPERLINK("https://maps.cookcountyil.gov/cookviewer/?search=5131 W ROSCOE ST", "5131 W ROSCOE ST")</f>
        <v>0</v>
      </c>
      <c r="N50" t="s">
        <v>602</v>
      </c>
      <c r="P50" t="s">
        <v>648</v>
      </c>
      <c r="Q50" t="s">
        <v>826</v>
      </c>
      <c r="U50" t="s">
        <v>969</v>
      </c>
      <c r="V50" t="s">
        <v>971</v>
      </c>
    </row>
    <row r="51" spans="1:22">
      <c r="A51">
        <v>50</v>
      </c>
      <c r="B51" t="s">
        <v>71</v>
      </c>
      <c r="C51" t="s">
        <v>254</v>
      </c>
      <c r="D51" t="s">
        <v>412</v>
      </c>
      <c r="I51">
        <v>2500</v>
      </c>
      <c r="K51" t="s">
        <v>468</v>
      </c>
      <c r="L51">
        <f>HYPERLINK("https://maps.cookcountyil.gov/cookviewer/?search=4033 W CRYSTAL ST", "4033 W CRYSTAL ST")</f>
        <v>0</v>
      </c>
      <c r="N51" t="s">
        <v>602</v>
      </c>
      <c r="P51" t="s">
        <v>649</v>
      </c>
      <c r="Q51" t="s">
        <v>827</v>
      </c>
      <c r="U51">
        <f>HYPERLINK("https://www.cookcountyassessoril.gov/pin/16032350090000", "16-03-235-009-0000")</f>
        <v>0</v>
      </c>
      <c r="V51" t="s">
        <v>970</v>
      </c>
    </row>
    <row r="52" spans="1:22">
      <c r="A52">
        <v>51</v>
      </c>
      <c r="B52" t="s">
        <v>72</v>
      </c>
      <c r="C52" t="s">
        <v>255</v>
      </c>
      <c r="D52" t="s">
        <v>410</v>
      </c>
      <c r="I52">
        <v>1000000</v>
      </c>
      <c r="K52" t="s">
        <v>469</v>
      </c>
      <c r="L52">
        <f>HYPERLINK("https://maps.cookcountyil.gov/cookviewer/?search=5700 S CICERO AVE", "5700 S CICERO AVE")</f>
        <v>0</v>
      </c>
      <c r="N52" t="s">
        <v>602</v>
      </c>
      <c r="P52" t="s">
        <v>650</v>
      </c>
      <c r="Q52" t="s">
        <v>828</v>
      </c>
      <c r="U52">
        <f>HYPERLINK("https://www.cookcountyassessoril.gov/pin/19161000028047", "19-16-100-002-8047"), =HYPERLINK("https://www.cookcountyassessoril.gov/pin/19161000028063", "19-16-100-002-8063")</f>
        <v>0</v>
      </c>
      <c r="V52" t="s">
        <v>970</v>
      </c>
    </row>
    <row r="53" spans="1:22">
      <c r="A53">
        <v>52</v>
      </c>
      <c r="B53" t="s">
        <v>73</v>
      </c>
      <c r="C53" t="s">
        <v>256</v>
      </c>
      <c r="D53" t="s">
        <v>410</v>
      </c>
      <c r="I53">
        <v>6618</v>
      </c>
      <c r="K53" t="s">
        <v>470</v>
      </c>
      <c r="L53">
        <f>HYPERLINK("https://maps.cookcountyil.gov/cookviewer/?search=1735 N PAULINA ST", "1735 N PAULINA ST")</f>
        <v>0</v>
      </c>
      <c r="N53" t="s">
        <v>602</v>
      </c>
      <c r="P53" t="s">
        <v>651</v>
      </c>
      <c r="Q53" t="s">
        <v>829</v>
      </c>
      <c r="U53" t="s">
        <v>969</v>
      </c>
      <c r="V53" t="s">
        <v>970</v>
      </c>
    </row>
    <row r="54" spans="1:22">
      <c r="A54">
        <v>53</v>
      </c>
      <c r="B54" t="s">
        <v>74</v>
      </c>
      <c r="C54" t="s">
        <v>257</v>
      </c>
      <c r="D54" t="s">
        <v>410</v>
      </c>
      <c r="I54">
        <v>29850</v>
      </c>
      <c r="K54" t="s">
        <v>471</v>
      </c>
      <c r="L54">
        <f>HYPERLINK("https://maps.cookcountyil.gov/cookviewer/?search=2210 N KARLOV AVE", "2210 N KARLOV AVE")</f>
        <v>0</v>
      </c>
      <c r="N54" t="s">
        <v>602</v>
      </c>
      <c r="P54" t="s">
        <v>652</v>
      </c>
      <c r="Q54" t="s">
        <v>830</v>
      </c>
      <c r="U54">
        <f>HYPERLINK("https://www.cookcountyassessoril.gov/pin/13342140370000", "13-34-214-037-0000")</f>
        <v>0</v>
      </c>
      <c r="V54" t="s">
        <v>971</v>
      </c>
    </row>
    <row r="55" spans="1:22">
      <c r="A55">
        <v>54</v>
      </c>
      <c r="B55" t="s">
        <v>75</v>
      </c>
      <c r="C55" t="s">
        <v>258</v>
      </c>
      <c r="D55" t="s">
        <v>412</v>
      </c>
      <c r="I55">
        <v>3200</v>
      </c>
      <c r="K55" t="s">
        <v>472</v>
      </c>
      <c r="L55">
        <f>HYPERLINK("https://maps.cookcountyil.gov/cookviewer/?search=1954 E 79TH ST", "1954 E 79TH ST")</f>
        <v>0</v>
      </c>
      <c r="N55" t="s">
        <v>602</v>
      </c>
      <c r="P55" t="s">
        <v>653</v>
      </c>
      <c r="Q55" t="s">
        <v>831</v>
      </c>
      <c r="U55" t="s">
        <v>969</v>
      </c>
      <c r="V55" t="s">
        <v>970</v>
      </c>
    </row>
    <row r="56" spans="1:22">
      <c r="A56">
        <v>55</v>
      </c>
      <c r="B56" t="s">
        <v>76</v>
      </c>
      <c r="C56" t="s">
        <v>259</v>
      </c>
      <c r="D56" t="s">
        <v>414</v>
      </c>
      <c r="I56">
        <v>3000</v>
      </c>
      <c r="K56" t="s">
        <v>473</v>
      </c>
      <c r="L56">
        <f>HYPERLINK("https://maps.cookcountyil.gov/cookviewer/?search=5650 W DIVERSEY AVE", "5650 W DIVERSEY AVE")</f>
        <v>0</v>
      </c>
      <c r="N56" t="s">
        <v>602</v>
      </c>
      <c r="P56" t="s">
        <v>654</v>
      </c>
      <c r="Q56" t="s">
        <v>832</v>
      </c>
      <c r="U56">
        <f>HYPERLINK("https://www.cookcountyassessoril.gov/pin/13292300300000", "13-29-230-030-0000")</f>
        <v>0</v>
      </c>
      <c r="V56" t="s">
        <v>970</v>
      </c>
    </row>
    <row r="57" spans="1:22">
      <c r="A57">
        <v>56</v>
      </c>
      <c r="B57" t="s">
        <v>77</v>
      </c>
      <c r="C57" t="s">
        <v>260</v>
      </c>
      <c r="D57" t="s">
        <v>410</v>
      </c>
      <c r="I57">
        <v>32400</v>
      </c>
      <c r="K57" t="s">
        <v>474</v>
      </c>
      <c r="L57">
        <f>HYPERLINK("https://maps.cookcountyil.gov/cookviewer/?search=2937 N MOBILE AVE", "2937 N MOBILE AVE")</f>
        <v>0</v>
      </c>
      <c r="N57" t="s">
        <v>602</v>
      </c>
      <c r="P57" t="s">
        <v>655</v>
      </c>
      <c r="Q57" t="s">
        <v>833</v>
      </c>
      <c r="U57" t="s">
        <v>969</v>
      </c>
      <c r="V57" t="s">
        <v>971</v>
      </c>
    </row>
    <row r="58" spans="1:22">
      <c r="A58">
        <v>57</v>
      </c>
      <c r="B58" t="s">
        <v>78</v>
      </c>
      <c r="C58" t="s">
        <v>261</v>
      </c>
      <c r="D58" t="s">
        <v>416</v>
      </c>
      <c r="I58">
        <v>19800</v>
      </c>
      <c r="K58" t="s">
        <v>475</v>
      </c>
      <c r="L58">
        <f>HYPERLINK("https://maps.cookcountyil.gov/cookviewer/?search=1406 N ASTOR ST", "1406 N ASTOR ST")</f>
        <v>0</v>
      </c>
      <c r="N58" t="s">
        <v>602</v>
      </c>
      <c r="P58" t="s">
        <v>656</v>
      </c>
      <c r="Q58" t="s">
        <v>834</v>
      </c>
      <c r="U58">
        <f>HYPERLINK("https://www.cookcountyassessoril.gov/pin/17031020260000", "17-03-102-026-0000")</f>
        <v>0</v>
      </c>
      <c r="V58" t="s">
        <v>970</v>
      </c>
    </row>
    <row r="59" spans="1:22">
      <c r="A59">
        <v>58</v>
      </c>
      <c r="B59" t="s">
        <v>79</v>
      </c>
      <c r="C59" t="s">
        <v>262</v>
      </c>
      <c r="D59" t="s">
        <v>405</v>
      </c>
      <c r="I59">
        <v>90000</v>
      </c>
      <c r="K59" t="s">
        <v>476</v>
      </c>
      <c r="L59">
        <f>HYPERLINK("https://maps.cookcountyil.gov/cookviewer/?search=2310 W NELSON ST", "2310 W NELSON ST")</f>
        <v>0</v>
      </c>
      <c r="N59" t="s">
        <v>602</v>
      </c>
      <c r="P59" t="s">
        <v>657</v>
      </c>
      <c r="Q59" t="s">
        <v>835</v>
      </c>
      <c r="U59" t="s">
        <v>969</v>
      </c>
      <c r="V59" t="s">
        <v>971</v>
      </c>
    </row>
    <row r="60" spans="1:22">
      <c r="A60">
        <v>59</v>
      </c>
      <c r="B60" t="s">
        <v>80</v>
      </c>
      <c r="C60" t="s">
        <v>263</v>
      </c>
      <c r="D60" t="s">
        <v>412</v>
      </c>
      <c r="I60">
        <v>10000</v>
      </c>
      <c r="K60" t="s">
        <v>477</v>
      </c>
      <c r="L60">
        <f>HYPERLINK("https://maps.cookcountyil.gov/cookviewer/?search=6554 S BELL AVE", "6554 S BELL AVE")</f>
        <v>0</v>
      </c>
      <c r="N60" t="s">
        <v>602</v>
      </c>
      <c r="P60" t="s">
        <v>658</v>
      </c>
      <c r="Q60" t="s">
        <v>836</v>
      </c>
      <c r="U60">
        <f>HYPERLINK("https://www.cookcountyassessoril.gov/pin/20191170480000", "20-19-117-048-0000")</f>
        <v>0</v>
      </c>
      <c r="V60" t="s">
        <v>970</v>
      </c>
    </row>
    <row r="61" spans="1:22">
      <c r="A61">
        <v>60</v>
      </c>
      <c r="B61" t="s">
        <v>81</v>
      </c>
      <c r="C61" t="s">
        <v>264</v>
      </c>
      <c r="D61" t="s">
        <v>412</v>
      </c>
      <c r="I61">
        <v>4385</v>
      </c>
      <c r="K61" t="s">
        <v>478</v>
      </c>
      <c r="L61">
        <f>HYPERLINK("https://maps.cookcountyil.gov/cookviewer/?search=5101 S LARAMIE AVE", "5101 S LARAMIE AVE")</f>
        <v>0</v>
      </c>
      <c r="N61" t="s">
        <v>602</v>
      </c>
      <c r="P61" t="s">
        <v>659</v>
      </c>
      <c r="Q61" t="s">
        <v>837</v>
      </c>
      <c r="U61">
        <f>HYPERLINK("https://www.cookcountyassessoril.gov/pin/19094000430000", "19-09-400-043-0000")</f>
        <v>0</v>
      </c>
      <c r="V61" t="s">
        <v>970</v>
      </c>
    </row>
    <row r="62" spans="1:22">
      <c r="A62">
        <v>61</v>
      </c>
      <c r="B62" t="s">
        <v>82</v>
      </c>
      <c r="C62" t="s">
        <v>265</v>
      </c>
      <c r="D62" t="s">
        <v>416</v>
      </c>
      <c r="I62">
        <v>2500</v>
      </c>
      <c r="K62" t="s">
        <v>479</v>
      </c>
      <c r="L62">
        <f>HYPERLINK("https://maps.cookcountyil.gov/cookviewer/?search=1100 N RIDGEWAY AVE", "1100 N RIDGEWAY AVE")</f>
        <v>0</v>
      </c>
      <c r="N62" t="s">
        <v>602</v>
      </c>
      <c r="P62" t="s">
        <v>660</v>
      </c>
      <c r="Q62" t="s">
        <v>838</v>
      </c>
      <c r="U62">
        <f>HYPERLINK("https://www.cookcountyassessoril.gov/pin/16023040440000", "16-02-304-044-0000")</f>
        <v>0</v>
      </c>
      <c r="V62" t="s">
        <v>970</v>
      </c>
    </row>
    <row r="63" spans="1:22">
      <c r="A63">
        <v>62</v>
      </c>
      <c r="B63" t="s">
        <v>83</v>
      </c>
      <c r="C63" t="s">
        <v>266</v>
      </c>
      <c r="D63" t="s">
        <v>410</v>
      </c>
      <c r="I63">
        <v>14348</v>
      </c>
      <c r="K63" t="s">
        <v>480</v>
      </c>
      <c r="L63">
        <f>HYPERLINK("https://maps.cookcountyil.gov/cookviewer/?search=9438 S PARNELL AVE", "9438 S PARNELL AVE")</f>
        <v>0</v>
      </c>
      <c r="N63" t="s">
        <v>602</v>
      </c>
      <c r="P63" t="s">
        <v>661</v>
      </c>
      <c r="Q63" t="s">
        <v>839</v>
      </c>
      <c r="U63">
        <f>HYPERLINK("https://www.cookcountyassessoril.gov/pin/25043270260000", "25-04-327-026-0000")</f>
        <v>0</v>
      </c>
      <c r="V63" t="s">
        <v>971</v>
      </c>
    </row>
    <row r="64" spans="1:22">
      <c r="A64">
        <v>63</v>
      </c>
      <c r="B64" t="s">
        <v>33</v>
      </c>
      <c r="C64" t="s">
        <v>267</v>
      </c>
      <c r="D64" t="s">
        <v>410</v>
      </c>
      <c r="I64">
        <v>35000</v>
      </c>
      <c r="K64" t="s">
        <v>430</v>
      </c>
      <c r="L64">
        <f>HYPERLINK("https://maps.cookcountyil.gov/cookviewer/?search=1511 N LINDER AVE", "1511 N LINDER AVE")</f>
        <v>0</v>
      </c>
      <c r="N64" t="s">
        <v>602</v>
      </c>
      <c r="P64" t="s">
        <v>613</v>
      </c>
      <c r="Q64" t="s">
        <v>840</v>
      </c>
      <c r="U64">
        <f>HYPERLINK("https://www.cookcountyassessoril.gov/pin/16041020220000", "16-04-102-022-0000")</f>
        <v>0</v>
      </c>
      <c r="V64" t="s">
        <v>970</v>
      </c>
    </row>
    <row r="65" spans="1:22">
      <c r="A65">
        <v>64</v>
      </c>
      <c r="B65" t="s">
        <v>84</v>
      </c>
      <c r="C65" t="s">
        <v>268</v>
      </c>
      <c r="D65" t="s">
        <v>412</v>
      </c>
      <c r="I65">
        <v>2000</v>
      </c>
      <c r="K65" t="s">
        <v>481</v>
      </c>
      <c r="L65">
        <f>HYPERLINK("https://maps.cookcountyil.gov/cookviewer/?search=1647 W 93RD ST", "1647 W 93RD ST")</f>
        <v>0</v>
      </c>
      <c r="N65" t="s">
        <v>602</v>
      </c>
      <c r="P65" t="s">
        <v>662</v>
      </c>
      <c r="Q65" t="s">
        <v>841</v>
      </c>
      <c r="U65">
        <f>HYPERLINK("https://www.cookcountyassessoril.gov/pin/25064190430000", "25-06-419-043-0000")</f>
        <v>0</v>
      </c>
      <c r="V65" t="s">
        <v>970</v>
      </c>
    </row>
    <row r="66" spans="1:22">
      <c r="A66">
        <v>65</v>
      </c>
      <c r="B66" t="s">
        <v>85</v>
      </c>
      <c r="C66" t="s">
        <v>269</v>
      </c>
      <c r="D66" t="s">
        <v>412</v>
      </c>
      <c r="I66">
        <v>2000</v>
      </c>
      <c r="K66" t="s">
        <v>482</v>
      </c>
      <c r="L66">
        <f>HYPERLINK("https://maps.cookcountyil.gov/cookviewer/?search=8105 S ADA ST", "8105 S ADA ST")</f>
        <v>0</v>
      </c>
      <c r="N66" t="s">
        <v>602</v>
      </c>
      <c r="P66" t="s">
        <v>663</v>
      </c>
      <c r="Q66" t="s">
        <v>842</v>
      </c>
      <c r="U66">
        <f>HYPERLINK("https://www.cookcountyassessoril.gov/pin/20321210020000", "20-32-121-002-0000")</f>
        <v>0</v>
      </c>
      <c r="V66" t="s">
        <v>970</v>
      </c>
    </row>
    <row r="67" spans="1:22">
      <c r="A67">
        <v>66</v>
      </c>
      <c r="B67" t="s">
        <v>86</v>
      </c>
      <c r="C67" t="s">
        <v>270</v>
      </c>
      <c r="D67" t="s">
        <v>410</v>
      </c>
      <c r="I67">
        <v>21541</v>
      </c>
      <c r="K67" t="s">
        <v>483</v>
      </c>
      <c r="L67">
        <f>HYPERLINK("https://maps.cookcountyil.gov/cookviewer/?search=9717 S DAMEN AVE", "9717 S DAMEN AVE")</f>
        <v>0</v>
      </c>
      <c r="N67" t="s">
        <v>602</v>
      </c>
      <c r="P67" t="s">
        <v>664</v>
      </c>
      <c r="Q67" t="s">
        <v>843</v>
      </c>
      <c r="U67">
        <f>HYPERLINK("https://www.cookcountyassessoril.gov/pin/25072070040000", "25-07-207-004-0000")</f>
        <v>0</v>
      </c>
      <c r="V67" t="s">
        <v>971</v>
      </c>
    </row>
    <row r="68" spans="1:22">
      <c r="A68">
        <v>67</v>
      </c>
      <c r="B68" t="s">
        <v>87</v>
      </c>
      <c r="C68" t="s">
        <v>271</v>
      </c>
      <c r="D68" t="s">
        <v>410</v>
      </c>
      <c r="I68">
        <v>6400</v>
      </c>
      <c r="K68" t="s">
        <v>484</v>
      </c>
      <c r="L68">
        <f>HYPERLINK("https://maps.cookcountyil.gov/cookviewer/?search=4460 N SPRINGFIELD AVE", "4460 N SPRINGFIELD AVE")</f>
        <v>0</v>
      </c>
      <c r="N68" t="s">
        <v>602</v>
      </c>
      <c r="P68" t="s">
        <v>665</v>
      </c>
      <c r="Q68" t="s">
        <v>844</v>
      </c>
      <c r="U68">
        <f>HYPERLINK("https://www.cookcountyassessoril.gov/pin/13141220160000", "13-14-122-016-0000")</f>
        <v>0</v>
      </c>
      <c r="V68" t="s">
        <v>970</v>
      </c>
    </row>
    <row r="69" spans="1:22">
      <c r="A69">
        <v>68</v>
      </c>
      <c r="B69" t="s">
        <v>88</v>
      </c>
      <c r="C69" t="s">
        <v>272</v>
      </c>
      <c r="D69" t="s">
        <v>410</v>
      </c>
      <c r="I69">
        <v>5000</v>
      </c>
      <c r="K69" t="s">
        <v>485</v>
      </c>
      <c r="L69">
        <f>HYPERLINK("https://maps.cookcountyil.gov/cookviewer/?search=5632 S TRUMBULL AVE", "5632 S TRUMBULL AVE")</f>
        <v>0</v>
      </c>
      <c r="N69" t="s">
        <v>602</v>
      </c>
      <c r="P69" t="s">
        <v>666</v>
      </c>
      <c r="Q69" t="s">
        <v>844</v>
      </c>
      <c r="U69">
        <f>HYPERLINK("https://www.cookcountyassessoril.gov/pin/19142070330000", "19-14-207-033-0000")</f>
        <v>0</v>
      </c>
      <c r="V69" t="s">
        <v>970</v>
      </c>
    </row>
    <row r="70" spans="1:22">
      <c r="A70">
        <v>69</v>
      </c>
      <c r="B70" t="s">
        <v>89</v>
      </c>
      <c r="C70" t="s">
        <v>273</v>
      </c>
      <c r="D70" t="s">
        <v>412</v>
      </c>
      <c r="I70">
        <v>20000</v>
      </c>
      <c r="K70" t="s">
        <v>486</v>
      </c>
      <c r="L70">
        <f>HYPERLINK("https://maps.cookcountyil.gov/cookviewer/?search=511 W ALDINE AVE", "511 W ALDINE AVE")</f>
        <v>0</v>
      </c>
      <c r="N70" t="s">
        <v>602</v>
      </c>
      <c r="P70" t="s">
        <v>667</v>
      </c>
      <c r="Q70" t="s">
        <v>845</v>
      </c>
      <c r="U70" t="s">
        <v>969</v>
      </c>
      <c r="V70" t="s">
        <v>970</v>
      </c>
    </row>
    <row r="71" spans="1:22">
      <c r="A71">
        <v>70</v>
      </c>
      <c r="B71" t="s">
        <v>90</v>
      </c>
      <c r="C71" t="s">
        <v>274</v>
      </c>
      <c r="D71" t="s">
        <v>417</v>
      </c>
      <c r="I71">
        <v>14000</v>
      </c>
      <c r="K71" t="s">
        <v>487</v>
      </c>
      <c r="L71">
        <f>HYPERLINK("https://maps.cookcountyil.gov/cookviewer/?search=5344 S NEWLAND AVE", "5344 S NEWLAND AVE")</f>
        <v>0</v>
      </c>
      <c r="N71" t="s">
        <v>602</v>
      </c>
      <c r="P71" t="s">
        <v>668</v>
      </c>
      <c r="Q71" t="s">
        <v>846</v>
      </c>
      <c r="U71">
        <f>HYPERLINK("https://www.cookcountyassessoril.gov/pin/19073190310000", "19-07-319-031-0000")</f>
        <v>0</v>
      </c>
      <c r="V71" t="s">
        <v>971</v>
      </c>
    </row>
    <row r="72" spans="1:22">
      <c r="A72">
        <v>71</v>
      </c>
      <c r="B72" t="s">
        <v>91</v>
      </c>
      <c r="C72" t="s">
        <v>275</v>
      </c>
      <c r="D72" t="s">
        <v>405</v>
      </c>
      <c r="I72">
        <v>2500</v>
      </c>
      <c r="K72" t="s">
        <v>488</v>
      </c>
      <c r="L72">
        <f>HYPERLINK("https://maps.cookcountyil.gov/cookviewer/?search=3649 N CLAREMONT AVE", "3649 N CLAREMONT AVE")</f>
        <v>0</v>
      </c>
      <c r="N72" t="s">
        <v>602</v>
      </c>
      <c r="P72" t="s">
        <v>669</v>
      </c>
      <c r="Q72" t="s">
        <v>847</v>
      </c>
      <c r="U72">
        <f>HYPERLINK("https://www.cookcountyassessoril.gov/pin/14191250040000", "14-19-125-004-0000")</f>
        <v>0</v>
      </c>
      <c r="V72" t="s">
        <v>970</v>
      </c>
    </row>
    <row r="73" spans="1:22">
      <c r="A73">
        <v>72</v>
      </c>
      <c r="B73" t="s">
        <v>92</v>
      </c>
      <c r="C73" t="s">
        <v>276</v>
      </c>
      <c r="D73" t="s">
        <v>417</v>
      </c>
      <c r="I73">
        <v>17496</v>
      </c>
      <c r="K73" t="s">
        <v>489</v>
      </c>
      <c r="L73">
        <f>HYPERLINK("https://maps.cookcountyil.gov/cookviewer/?search=3622 N OSCEOLA AVE", "3622 N OSCEOLA AVE")</f>
        <v>0</v>
      </c>
      <c r="N73" t="s">
        <v>602</v>
      </c>
      <c r="P73" t="s">
        <v>670</v>
      </c>
      <c r="Q73" t="s">
        <v>848</v>
      </c>
      <c r="U73">
        <f>HYPERLINK("https://www.cookcountyassessoril.gov/pin/12242270200000", "12-24-227-020-0000")</f>
        <v>0</v>
      </c>
      <c r="V73" t="s">
        <v>971</v>
      </c>
    </row>
    <row r="74" spans="1:22">
      <c r="A74">
        <v>73</v>
      </c>
      <c r="B74" t="s">
        <v>93</v>
      </c>
      <c r="C74" t="s">
        <v>277</v>
      </c>
      <c r="D74" t="s">
        <v>410</v>
      </c>
      <c r="I74">
        <v>5700</v>
      </c>
      <c r="K74" t="s">
        <v>490</v>
      </c>
      <c r="L74">
        <f>HYPERLINK("https://maps.cookcountyil.gov/cookviewer/?search=4743 W DEMING PL", "4743 W DEMING PL")</f>
        <v>0</v>
      </c>
      <c r="N74" t="s">
        <v>602</v>
      </c>
      <c r="P74" t="s">
        <v>671</v>
      </c>
      <c r="Q74" t="s">
        <v>849</v>
      </c>
      <c r="U74">
        <f>HYPERLINK("https://www.cookcountyassessoril.gov/pin/13273160040000", "13-27-316-004-0000")</f>
        <v>0</v>
      </c>
      <c r="V74" t="s">
        <v>970</v>
      </c>
    </row>
    <row r="75" spans="1:22">
      <c r="A75">
        <v>74</v>
      </c>
      <c r="B75" t="s">
        <v>94</v>
      </c>
      <c r="C75" t="s">
        <v>278</v>
      </c>
      <c r="D75" t="s">
        <v>410</v>
      </c>
      <c r="I75">
        <v>6400</v>
      </c>
      <c r="K75" t="s">
        <v>491</v>
      </c>
      <c r="L75">
        <f>HYPERLINK("https://maps.cookcountyil.gov/cookviewer/?search=1655 E 84TH PL", "1655 E 84TH PL")</f>
        <v>0</v>
      </c>
      <c r="N75" t="s">
        <v>602</v>
      </c>
      <c r="P75" t="s">
        <v>672</v>
      </c>
      <c r="Q75" t="s">
        <v>850</v>
      </c>
      <c r="U75">
        <f>HYPERLINK("https://www.cookcountyassessoril.gov/pin/20363100240000", "20-36-310-024-0000")</f>
        <v>0</v>
      </c>
      <c r="V75" t="s">
        <v>970</v>
      </c>
    </row>
    <row r="76" spans="1:22">
      <c r="A76">
        <v>75</v>
      </c>
      <c r="B76" t="s">
        <v>95</v>
      </c>
      <c r="C76" t="s">
        <v>279</v>
      </c>
      <c r="D76" t="s">
        <v>410</v>
      </c>
      <c r="I76">
        <v>30000</v>
      </c>
      <c r="K76" t="s">
        <v>492</v>
      </c>
      <c r="L76">
        <f>HYPERLINK("https://maps.cookcountyil.gov/cookviewer/?search=1722 N LINDER AVE", "1722 N LINDER AVE")</f>
        <v>0</v>
      </c>
      <c r="N76" t="s">
        <v>602</v>
      </c>
      <c r="P76" t="s">
        <v>673</v>
      </c>
      <c r="Q76" t="s">
        <v>851</v>
      </c>
      <c r="U76">
        <f>HYPERLINK("https://www.cookcountyassessoril.gov/pin/13333120330000", "13-33-312-033-0000")</f>
        <v>0</v>
      </c>
      <c r="V76" t="s">
        <v>971</v>
      </c>
    </row>
    <row r="77" spans="1:22">
      <c r="A77">
        <v>76</v>
      </c>
      <c r="B77" t="s">
        <v>96</v>
      </c>
      <c r="C77" t="s">
        <v>280</v>
      </c>
      <c r="D77" t="s">
        <v>410</v>
      </c>
      <c r="I77">
        <v>5000</v>
      </c>
      <c r="K77" t="s">
        <v>493</v>
      </c>
      <c r="L77">
        <f>HYPERLINK("https://maps.cookcountyil.gov/cookviewer/?search=1132 N LEAMINGTON AVE", "1132 N LEAMINGTON AVE")</f>
        <v>0</v>
      </c>
      <c r="N77" t="s">
        <v>602</v>
      </c>
      <c r="P77" t="s">
        <v>674</v>
      </c>
      <c r="Q77" t="s">
        <v>852</v>
      </c>
      <c r="U77">
        <f>HYPERLINK("https://www.cookcountyassessoril.gov/pin/16044000300000", "16-04-400-030-0000")</f>
        <v>0</v>
      </c>
      <c r="V77" t="s">
        <v>970</v>
      </c>
    </row>
    <row r="78" spans="1:22">
      <c r="A78">
        <v>77</v>
      </c>
      <c r="B78" t="s">
        <v>97</v>
      </c>
      <c r="C78" t="s">
        <v>281</v>
      </c>
      <c r="D78" t="s">
        <v>410</v>
      </c>
      <c r="I78">
        <v>100</v>
      </c>
      <c r="K78" t="s">
        <v>494</v>
      </c>
      <c r="L78">
        <f>HYPERLINK("https://maps.cookcountyil.gov/cookviewer/?search=6638 N OLMSTED AVE", "6638 N OLMSTED AVE")</f>
        <v>0</v>
      </c>
      <c r="N78" t="s">
        <v>602</v>
      </c>
      <c r="P78" t="s">
        <v>675</v>
      </c>
      <c r="Q78" t="s">
        <v>853</v>
      </c>
      <c r="U78" t="s">
        <v>969</v>
      </c>
      <c r="V78" t="s">
        <v>970</v>
      </c>
    </row>
    <row r="79" spans="1:22">
      <c r="A79">
        <v>78</v>
      </c>
      <c r="B79" t="s">
        <v>98</v>
      </c>
      <c r="C79" t="s">
        <v>282</v>
      </c>
      <c r="D79" t="s">
        <v>410</v>
      </c>
      <c r="I79">
        <v>5700</v>
      </c>
      <c r="K79" t="s">
        <v>495</v>
      </c>
      <c r="L79">
        <f>HYPERLINK("https://maps.cookcountyil.gov/cookviewer/?search=5000 W WINONA ST", "5000 W WINONA ST")</f>
        <v>0</v>
      </c>
      <c r="N79" t="s">
        <v>602</v>
      </c>
      <c r="P79" t="s">
        <v>676</v>
      </c>
      <c r="Q79" t="s">
        <v>854</v>
      </c>
      <c r="U79">
        <f>HYPERLINK("https://www.cookcountyassessoril.gov/pin/13094010330000", "13-09-401-033-0000")</f>
        <v>0</v>
      </c>
      <c r="V79" t="s">
        <v>970</v>
      </c>
    </row>
    <row r="80" spans="1:22">
      <c r="A80">
        <v>79</v>
      </c>
      <c r="B80" t="s">
        <v>99</v>
      </c>
      <c r="C80" t="s">
        <v>283</v>
      </c>
      <c r="D80" t="s">
        <v>406</v>
      </c>
      <c r="I80">
        <v>5544</v>
      </c>
      <c r="K80" t="s">
        <v>496</v>
      </c>
      <c r="L80">
        <f>HYPERLINK("https://maps.cookcountyil.gov/cookviewer/?search=6439 N TALMAN AVE", "6439 N TALMAN AVE")</f>
        <v>0</v>
      </c>
      <c r="N80" t="s">
        <v>602</v>
      </c>
      <c r="P80" t="s">
        <v>677</v>
      </c>
      <c r="Q80" t="s">
        <v>855</v>
      </c>
      <c r="U80">
        <f>HYPERLINK("https://www.cookcountyassessoril.gov/pin/10364270060000", "10-36-427-006-0000")</f>
        <v>0</v>
      </c>
      <c r="V80" t="s">
        <v>971</v>
      </c>
    </row>
    <row r="81" spans="1:22">
      <c r="A81">
        <v>80</v>
      </c>
      <c r="B81" t="s">
        <v>100</v>
      </c>
      <c r="C81" t="s">
        <v>284</v>
      </c>
      <c r="D81" t="s">
        <v>410</v>
      </c>
      <c r="I81">
        <v>21800</v>
      </c>
      <c r="K81" t="s">
        <v>497</v>
      </c>
      <c r="L81">
        <f>HYPERLINK("https://maps.cookcountyil.gov/cookviewer/?search=542 W HOBBIE ST", "542 W HOBBIE ST")</f>
        <v>0</v>
      </c>
      <c r="N81" t="s">
        <v>602</v>
      </c>
      <c r="P81" t="s">
        <v>678</v>
      </c>
      <c r="Q81" t="s">
        <v>856</v>
      </c>
      <c r="U81">
        <f>HYPERLINK("https://www.cookcountyassessoril.gov/pin/17043110400000", "17-04-311-040-0000")</f>
        <v>0</v>
      </c>
      <c r="V81" t="s">
        <v>970</v>
      </c>
    </row>
    <row r="82" spans="1:22">
      <c r="A82">
        <v>81</v>
      </c>
      <c r="B82" t="s">
        <v>101</v>
      </c>
      <c r="C82" t="s">
        <v>285</v>
      </c>
      <c r="D82" t="s">
        <v>406</v>
      </c>
      <c r="I82">
        <v>850</v>
      </c>
      <c r="K82" t="s">
        <v>498</v>
      </c>
      <c r="L82">
        <f>HYPERLINK("https://maps.cookcountyil.gov/cookviewer/?search=3636 W WOLFRAM ST", "3636 W WOLFRAM ST")</f>
        <v>0</v>
      </c>
      <c r="N82" t="s">
        <v>602</v>
      </c>
      <c r="P82" t="s">
        <v>679</v>
      </c>
      <c r="Q82" t="s">
        <v>857</v>
      </c>
      <c r="U82" t="s">
        <v>969</v>
      </c>
      <c r="V82" t="s">
        <v>970</v>
      </c>
    </row>
    <row r="83" spans="1:22">
      <c r="A83">
        <v>82</v>
      </c>
      <c r="B83" t="s">
        <v>102</v>
      </c>
      <c r="C83" t="s">
        <v>286</v>
      </c>
      <c r="D83" t="s">
        <v>410</v>
      </c>
      <c r="I83">
        <v>18000</v>
      </c>
      <c r="K83" t="s">
        <v>499</v>
      </c>
      <c r="L83">
        <f>HYPERLINK("https://maps.cookcountyil.gov/cookviewer/?search=7507 N CLARK ST", "7507 N CLARK ST")</f>
        <v>0</v>
      </c>
      <c r="N83" t="s">
        <v>602</v>
      </c>
      <c r="P83" t="s">
        <v>680</v>
      </c>
      <c r="Q83" t="s">
        <v>858</v>
      </c>
      <c r="U83">
        <f>HYPERLINK("https://www.cookcountyassessoril.gov/pin/11304110590000", "11-30-411-059-0000"), =HYPERLINK("https://www.cookcountyassessoril.gov/pin/11304110490000", "11-30-411-049-0000"), =HYPERLINK("https://www.cookcountyassessoril.gov/pin/11304110440000", "11-30-411-044-0000"), =HYPERLINK("https://www.cookcountyassessoril.gov/pin/11304110510000", "11-30-411-051-0000"), =HYPERLINK("https://www.cookcountyassessoril.gov/pin/11304110260000", "11-30-411-026-0000"), =HYPERLINK("https://www.cookcountyassessoril.gov/pin/11304110400000", "11-30-411-040-0000"), =HYPERLINK("https://www.cookcountyassessoril.gov/pin/11304110580000", "11-30-411-058-0000"), =HYPERLINK("https://www.cookcountyassessoril.gov/pin/11304110360000", "11-30-411-036-0000"), =HYPERLINK("https://www.cookcountyassessoril.gov/pin/11304110480000", "11-30-411-048-0000"), =HYPERLINK("https://www.cookcountyassessoril.gov/pin/11304110450000", "11-30-411-045-0000"), =HYPERLINK("https://www.cookcountyassessoril.gov/pin/11304110550000", "11-30-411-055-0000"), =HYPERLINK("https://www.cookcountyassessoril.gov/pin/11304110520000", "11-30-411-052-0000"), =HYPERLINK("https://www.cookcountyassessoril.gov/pin/11304110250000", "11-30-411-025-0000"), =HYPERLINK("https://www.cookcountyassessoril.gov/pin/11304110410000", "11-30-411-041-0000"), =HYPERLINK("https://www.cookcountyassessoril.gov/pin/11304110240000", "11-30-411-024-0000"), =HYPERLINK("https://www.cookcountyassessoril.gov/pin/11304110420000", "11-30-411-042-0000"), =HYPERLINK("https://www.cookcountyassessoril.gov/pin/11304110470000", "11-30-411-047-0000"), =HYPERLINK("https://www.cookcountyassessoril.gov/pin/11304110610000", "11-30-411-061-0000"), =HYPERLINK("https://www.cookcountyassessoril.gov/pin/11304110500000", "11-30-411-050-0000"), =HYPERLINK("https://www.cookcountyassessoril.gov/pin/11304110430000", "11-30-411-043-0000"), =HYPERLINK("https://www.cookcountyassessoril.gov/pin/11304110540000", "11-30-411-054-0000"), =HYPERLINK("https://www.cookcountyassessoril.gov/pin/11304110530000", "11-30-411-053-0000"), =HYPERLINK("https://www.cookcountyassessoril.gov/pin/11304110460000", "11-30-411-046-0000"), =HYPERLINK("https://www.cookcountyassessoril.gov/pin/11304110560000", "11-30-411-056-0000"), =HYPERLINK("https://www.cookcountyassessoril.gov/pin/11304110600000", "11-30-411-060-0000"), =HYPERLINK("https://www.cookcountyassessoril.gov/pin/11304110390000", "11-30-411-039-0000"), =HYPERLINK("https://www.cookcountyassessoril.gov/pin/11304110570000", "11-30-411-057-0000"), =HYPERLINK("https://www.cookcountyassessoril.gov/pin/11304110380000", "11-30-411-038-0000")</f>
        <v>0</v>
      </c>
      <c r="V83" t="s">
        <v>970</v>
      </c>
    </row>
    <row r="84" spans="1:22">
      <c r="A84">
        <v>83</v>
      </c>
      <c r="B84" t="s">
        <v>103</v>
      </c>
      <c r="C84" t="s">
        <v>287</v>
      </c>
      <c r="D84" t="s">
        <v>406</v>
      </c>
      <c r="I84">
        <v>5544</v>
      </c>
      <c r="K84" t="s">
        <v>500</v>
      </c>
      <c r="L84">
        <f>HYPERLINK("https://maps.cookcountyil.gov/cookviewer/?search=2839 N HAMLIN AVE", "2839 N HAMLIN AVE")</f>
        <v>0</v>
      </c>
      <c r="N84" t="s">
        <v>602</v>
      </c>
      <c r="P84" t="s">
        <v>681</v>
      </c>
      <c r="Q84" t="s">
        <v>859</v>
      </c>
      <c r="U84">
        <f>HYPERLINK("https://www.cookcountyassessoril.gov/pin/13261270070000", "13-26-127-007-0000")</f>
        <v>0</v>
      </c>
      <c r="V84" t="s">
        <v>971</v>
      </c>
    </row>
    <row r="85" spans="1:22">
      <c r="A85">
        <v>84</v>
      </c>
      <c r="B85" t="s">
        <v>104</v>
      </c>
      <c r="C85" t="s">
        <v>288</v>
      </c>
      <c r="D85" t="s">
        <v>416</v>
      </c>
      <c r="I85">
        <v>96000</v>
      </c>
      <c r="K85" t="s">
        <v>501</v>
      </c>
      <c r="L85">
        <f>HYPERLINK("https://maps.cookcountyil.gov/cookviewer/?search=62 E JACKSON BLVD", "62 E JACKSON BLVD")</f>
        <v>0</v>
      </c>
      <c r="N85" t="s">
        <v>602</v>
      </c>
      <c r="P85" t="s">
        <v>682</v>
      </c>
      <c r="Q85" t="s">
        <v>860</v>
      </c>
      <c r="U85" t="s">
        <v>969</v>
      </c>
      <c r="V85" t="s">
        <v>971</v>
      </c>
    </row>
    <row r="86" spans="1:22">
      <c r="A86">
        <v>85</v>
      </c>
      <c r="B86" t="s">
        <v>103</v>
      </c>
      <c r="C86" t="s">
        <v>289</v>
      </c>
      <c r="D86" t="s">
        <v>406</v>
      </c>
      <c r="I86">
        <v>5544</v>
      </c>
      <c r="K86" t="s">
        <v>500</v>
      </c>
      <c r="L86">
        <f>HYPERLINK("https://maps.cookcountyil.gov/cookviewer/?search=2839 N HAMLIN AVE", "2839 N HAMLIN AVE")</f>
        <v>0</v>
      </c>
      <c r="N86" t="s">
        <v>602</v>
      </c>
      <c r="P86" t="s">
        <v>681</v>
      </c>
      <c r="Q86" t="s">
        <v>861</v>
      </c>
      <c r="U86">
        <f>HYPERLINK("https://www.cookcountyassessoril.gov/pin/13261270070000", "13-26-127-007-0000")</f>
        <v>0</v>
      </c>
      <c r="V86" t="s">
        <v>971</v>
      </c>
    </row>
    <row r="87" spans="1:22">
      <c r="A87">
        <v>86</v>
      </c>
      <c r="B87" t="s">
        <v>105</v>
      </c>
      <c r="C87" t="s">
        <v>290</v>
      </c>
      <c r="D87" t="s">
        <v>409</v>
      </c>
      <c r="I87">
        <v>45000</v>
      </c>
      <c r="K87" t="s">
        <v>502</v>
      </c>
      <c r="L87">
        <f>HYPERLINK("https://maps.cookcountyil.gov/cookviewer/?search=2235 W 74TH ST", "2235 W 74TH ST")</f>
        <v>0</v>
      </c>
      <c r="N87" t="s">
        <v>602</v>
      </c>
      <c r="P87" t="s">
        <v>683</v>
      </c>
      <c r="Q87" t="s">
        <v>862</v>
      </c>
      <c r="U87">
        <f>HYPERLINK("https://www.cookcountyassessoril.gov/pin/20301250010000", "20-30-125-001-0000")</f>
        <v>0</v>
      </c>
      <c r="V87" t="s">
        <v>970</v>
      </c>
    </row>
    <row r="88" spans="1:22">
      <c r="A88">
        <v>87</v>
      </c>
      <c r="B88" t="s">
        <v>103</v>
      </c>
      <c r="C88" t="s">
        <v>291</v>
      </c>
      <c r="D88" t="s">
        <v>406</v>
      </c>
      <c r="I88">
        <v>1000</v>
      </c>
      <c r="K88" t="s">
        <v>500</v>
      </c>
      <c r="L88">
        <f>HYPERLINK("https://maps.cookcountyil.gov/cookviewer/?search=2839 N HAMLIN AVE", "2839 N HAMLIN AVE")</f>
        <v>0</v>
      </c>
      <c r="N88" t="s">
        <v>602</v>
      </c>
      <c r="P88" t="s">
        <v>681</v>
      </c>
      <c r="Q88" t="s">
        <v>863</v>
      </c>
      <c r="U88">
        <f>HYPERLINK("https://www.cookcountyassessoril.gov/pin/13261270070000", "13-26-127-007-0000")</f>
        <v>0</v>
      </c>
      <c r="V88" t="s">
        <v>970</v>
      </c>
    </row>
    <row r="89" spans="1:22">
      <c r="A89">
        <v>88</v>
      </c>
      <c r="B89" t="s">
        <v>106</v>
      </c>
      <c r="C89" t="s">
        <v>292</v>
      </c>
      <c r="D89" t="s">
        <v>410</v>
      </c>
      <c r="I89">
        <v>10000</v>
      </c>
      <c r="K89" t="s">
        <v>503</v>
      </c>
      <c r="L89">
        <f>HYPERLINK("https://maps.cookcountyil.gov/cookviewer/?search=5722 S PULASKI RD", "5722 S PULASKI RD")</f>
        <v>0</v>
      </c>
      <c r="N89" t="s">
        <v>602</v>
      </c>
      <c r="P89" t="s">
        <v>684</v>
      </c>
      <c r="Q89" t="s">
        <v>864</v>
      </c>
      <c r="U89">
        <f>HYPERLINK("https://www.cookcountyassessoril.gov/pin/19152200390000", "19-15-220-039-0000")</f>
        <v>0</v>
      </c>
      <c r="V89" t="s">
        <v>970</v>
      </c>
    </row>
    <row r="90" spans="1:22">
      <c r="A90">
        <v>89</v>
      </c>
      <c r="B90" t="s">
        <v>107</v>
      </c>
      <c r="C90" t="s">
        <v>293</v>
      </c>
      <c r="D90" t="s">
        <v>410</v>
      </c>
      <c r="I90">
        <v>25081</v>
      </c>
      <c r="K90" t="s">
        <v>504</v>
      </c>
      <c r="L90">
        <f>HYPERLINK("https://maps.cookcountyil.gov/cookviewer/?search=8233 S BUFFALO AVE", "8233 S BUFFALO AVE")</f>
        <v>0</v>
      </c>
      <c r="N90" t="s">
        <v>602</v>
      </c>
      <c r="P90" t="s">
        <v>685</v>
      </c>
      <c r="Q90" t="s">
        <v>865</v>
      </c>
      <c r="U90">
        <f>HYPERLINK("https://www.cookcountyassessoril.gov/pin/21321030010000", "21-32-103-001-0000")</f>
        <v>0</v>
      </c>
      <c r="V90" t="s">
        <v>971</v>
      </c>
    </row>
    <row r="91" spans="1:22">
      <c r="A91">
        <v>90</v>
      </c>
      <c r="B91" t="s">
        <v>108</v>
      </c>
      <c r="C91" t="s">
        <v>294</v>
      </c>
      <c r="D91" t="s">
        <v>405</v>
      </c>
      <c r="I91">
        <v>194390</v>
      </c>
      <c r="K91" t="s">
        <v>505</v>
      </c>
      <c r="L91">
        <f>HYPERLINK("https://maps.cookcountyil.gov/cookviewer/?search=1140 W PRATT BLVD", "1140 W PRATT BLVD")</f>
        <v>0</v>
      </c>
      <c r="N91" t="s">
        <v>602</v>
      </c>
      <c r="P91" t="s">
        <v>686</v>
      </c>
      <c r="Q91" t="s">
        <v>866</v>
      </c>
      <c r="U91" t="s">
        <v>969</v>
      </c>
      <c r="V91" t="s">
        <v>970</v>
      </c>
    </row>
    <row r="92" spans="1:22">
      <c r="A92">
        <v>91</v>
      </c>
      <c r="B92" t="s">
        <v>109</v>
      </c>
      <c r="C92" t="s">
        <v>295</v>
      </c>
      <c r="D92" t="s">
        <v>406</v>
      </c>
      <c r="I92">
        <v>1500</v>
      </c>
      <c r="K92" t="s">
        <v>506</v>
      </c>
      <c r="L92">
        <f>HYPERLINK("https://maps.cookcountyil.gov/cookviewer/?search=4040 S RICHMOND ST", "4040 S RICHMOND ST")</f>
        <v>0</v>
      </c>
      <c r="N92" t="s">
        <v>602</v>
      </c>
      <c r="P92" t="s">
        <v>687</v>
      </c>
      <c r="Q92" t="s">
        <v>867</v>
      </c>
      <c r="U92">
        <f>HYPERLINK("https://www.cookcountyassessoril.gov/pin/19011180300000", "19-01-118-030-0000")</f>
        <v>0</v>
      </c>
      <c r="V92" t="s">
        <v>970</v>
      </c>
    </row>
    <row r="93" spans="1:22">
      <c r="A93">
        <v>92</v>
      </c>
      <c r="B93" t="s">
        <v>110</v>
      </c>
      <c r="C93" t="s">
        <v>296</v>
      </c>
      <c r="D93" t="s">
        <v>418</v>
      </c>
      <c r="I93">
        <v>2200</v>
      </c>
      <c r="K93" t="s">
        <v>507</v>
      </c>
      <c r="L93">
        <f>HYPERLINK("https://maps.cookcountyil.gov/cookviewer/?search=2855 W HARRISON ST", "2855 W HARRISON ST")</f>
        <v>0</v>
      </c>
      <c r="N93" t="s">
        <v>602</v>
      </c>
      <c r="P93" t="s">
        <v>688</v>
      </c>
      <c r="Q93" t="s">
        <v>868</v>
      </c>
      <c r="U93">
        <f>HYPERLINK("https://www.cookcountyassessoril.gov/pin/16133030010000", "16-13-303-001-0000")</f>
        <v>0</v>
      </c>
      <c r="V93" t="s">
        <v>970</v>
      </c>
    </row>
    <row r="94" spans="1:22">
      <c r="A94">
        <v>93</v>
      </c>
      <c r="B94" t="s">
        <v>111</v>
      </c>
      <c r="C94" t="s">
        <v>297</v>
      </c>
      <c r="D94" t="s">
        <v>410</v>
      </c>
      <c r="I94">
        <v>29731</v>
      </c>
      <c r="K94" t="s">
        <v>508</v>
      </c>
      <c r="L94">
        <f>HYPERLINK("https://maps.cookcountyil.gov/cookviewer/?search=6024 S PRINCETON AVE", "6024 S PRINCETON AVE")</f>
        <v>0</v>
      </c>
      <c r="N94" t="s">
        <v>602</v>
      </c>
      <c r="P94" t="s">
        <v>689</v>
      </c>
      <c r="Q94" t="s">
        <v>865</v>
      </c>
      <c r="U94">
        <f>HYPERLINK("https://www.cookcountyassessoril.gov/pin/20164070360000", "20-16-407-036-0000")</f>
        <v>0</v>
      </c>
      <c r="V94" t="s">
        <v>971</v>
      </c>
    </row>
    <row r="95" spans="1:22">
      <c r="A95">
        <v>94</v>
      </c>
      <c r="B95" t="s">
        <v>112</v>
      </c>
      <c r="C95" t="s">
        <v>298</v>
      </c>
      <c r="D95" t="s">
        <v>406</v>
      </c>
      <c r="I95">
        <v>50000</v>
      </c>
      <c r="K95" t="s">
        <v>509</v>
      </c>
      <c r="L95">
        <f>HYPERLINK("https://maps.cookcountyil.gov/cookviewer/?search=235 N ARTESIAN AVE", "235 N ARTESIAN AVE")</f>
        <v>0</v>
      </c>
      <c r="N95" t="s">
        <v>602</v>
      </c>
      <c r="P95" t="s">
        <v>690</v>
      </c>
      <c r="Q95" t="s">
        <v>869</v>
      </c>
      <c r="U95">
        <f>HYPERLINK("https://www.cookcountyassessoril.gov/pin/16124140730000", "16-12-414-073-0000"), =HYPERLINK("https://www.cookcountyassessoril.gov/pin/16124140850000", "16-12-414-085-0000")</f>
        <v>0</v>
      </c>
      <c r="V95" t="s">
        <v>971</v>
      </c>
    </row>
    <row r="96" spans="1:22">
      <c r="A96">
        <v>95</v>
      </c>
      <c r="B96" t="s">
        <v>113</v>
      </c>
      <c r="C96" t="s">
        <v>299</v>
      </c>
      <c r="D96" t="s">
        <v>406</v>
      </c>
      <c r="I96">
        <v>122017</v>
      </c>
      <c r="K96" t="s">
        <v>510</v>
      </c>
      <c r="L96">
        <f>HYPERLINK("https://maps.cookcountyil.gov/cookviewer/?search=2332 W CERMAK RD", "2332 W CERMAK RD")</f>
        <v>0</v>
      </c>
      <c r="N96" t="s">
        <v>602</v>
      </c>
      <c r="P96" t="s">
        <v>691</v>
      </c>
      <c r="Q96" t="s">
        <v>870</v>
      </c>
      <c r="U96" t="s">
        <v>969</v>
      </c>
      <c r="V96" t="s">
        <v>971</v>
      </c>
    </row>
    <row r="97" spans="1:22">
      <c r="A97">
        <v>96</v>
      </c>
      <c r="B97" t="s">
        <v>114</v>
      </c>
      <c r="C97" t="s">
        <v>300</v>
      </c>
      <c r="D97" t="s">
        <v>419</v>
      </c>
      <c r="I97">
        <v>750</v>
      </c>
      <c r="K97" t="s">
        <v>511</v>
      </c>
      <c r="L97">
        <f>HYPERLINK("https://maps.cookcountyil.gov/cookviewer/?search=6807 N WAYNE AVE", "6807 N WAYNE AVE")</f>
        <v>0</v>
      </c>
      <c r="N97" t="s">
        <v>602</v>
      </c>
      <c r="P97" t="s">
        <v>692</v>
      </c>
      <c r="Q97" t="s">
        <v>871</v>
      </c>
      <c r="U97">
        <f>HYPERLINK("https://www.cookcountyassessoril.gov/pin/11321230090000", "11-32-123-009-0000")</f>
        <v>0</v>
      </c>
      <c r="V97" t="s">
        <v>971</v>
      </c>
    </row>
    <row r="98" spans="1:22">
      <c r="A98">
        <v>97</v>
      </c>
      <c r="B98" t="s">
        <v>76</v>
      </c>
      <c r="C98" t="s">
        <v>301</v>
      </c>
      <c r="D98" t="s">
        <v>414</v>
      </c>
      <c r="I98">
        <v>10000</v>
      </c>
      <c r="K98" t="s">
        <v>473</v>
      </c>
      <c r="L98">
        <f>HYPERLINK("https://maps.cookcountyil.gov/cookviewer/?search=5650 W DIVERSEY AVE", "5650 W DIVERSEY AVE")</f>
        <v>0</v>
      </c>
      <c r="N98" t="s">
        <v>602</v>
      </c>
      <c r="P98" t="s">
        <v>654</v>
      </c>
      <c r="Q98" t="s">
        <v>872</v>
      </c>
      <c r="U98">
        <f>HYPERLINK("https://www.cookcountyassessoril.gov/pin/13292300300000", "13-29-230-030-0000")</f>
        <v>0</v>
      </c>
      <c r="V98" t="s">
        <v>970</v>
      </c>
    </row>
    <row r="99" spans="1:22">
      <c r="A99">
        <v>98</v>
      </c>
      <c r="B99" t="s">
        <v>115</v>
      </c>
      <c r="C99" t="s">
        <v>302</v>
      </c>
      <c r="D99" t="s">
        <v>410</v>
      </c>
      <c r="I99">
        <v>59400</v>
      </c>
      <c r="K99" t="s">
        <v>512</v>
      </c>
      <c r="L99">
        <f>HYPERLINK("https://maps.cookcountyil.gov/cookviewer/?search=6625 N GLENWOOD AVE", "6625 N GLENWOOD AVE")</f>
        <v>0</v>
      </c>
      <c r="N99" t="s">
        <v>602</v>
      </c>
      <c r="P99" t="s">
        <v>693</v>
      </c>
      <c r="Q99" t="s">
        <v>873</v>
      </c>
      <c r="U99" t="s">
        <v>969</v>
      </c>
      <c r="V99" t="s">
        <v>970</v>
      </c>
    </row>
    <row r="100" spans="1:22">
      <c r="A100">
        <v>99</v>
      </c>
      <c r="B100" t="s">
        <v>116</v>
      </c>
      <c r="C100" t="s">
        <v>303</v>
      </c>
      <c r="D100" t="s">
        <v>410</v>
      </c>
      <c r="I100">
        <v>33094</v>
      </c>
      <c r="K100" t="s">
        <v>513</v>
      </c>
      <c r="L100">
        <f>HYPERLINK("https://maps.cookcountyil.gov/cookviewer/?search=9102 S NORMAL AVE", "9102 S NORMAL AVE")</f>
        <v>0</v>
      </c>
      <c r="N100" t="s">
        <v>602</v>
      </c>
      <c r="P100" t="s">
        <v>694</v>
      </c>
      <c r="Q100" t="s">
        <v>874</v>
      </c>
      <c r="U100" t="s">
        <v>969</v>
      </c>
      <c r="V100" t="s">
        <v>971</v>
      </c>
    </row>
    <row r="101" spans="1:22">
      <c r="A101">
        <v>100</v>
      </c>
      <c r="B101" t="s">
        <v>117</v>
      </c>
      <c r="C101" t="s">
        <v>304</v>
      </c>
      <c r="D101" t="s">
        <v>406</v>
      </c>
      <c r="I101">
        <v>4515</v>
      </c>
      <c r="K101" t="s">
        <v>514</v>
      </c>
      <c r="L101">
        <f>HYPERLINK("https://maps.cookcountyil.gov/cookviewer/?search=1336 N ROCKWELL ST", "1336 N ROCKWELL ST")</f>
        <v>0</v>
      </c>
      <c r="N101" t="s">
        <v>602</v>
      </c>
      <c r="P101" t="s">
        <v>695</v>
      </c>
      <c r="Q101" t="s">
        <v>875</v>
      </c>
      <c r="U101">
        <f>HYPERLINK("https://www.cookcountyassessoril.gov/pin/16012170440000", "16-01-217-044-0000")</f>
        <v>0</v>
      </c>
      <c r="V101" t="s">
        <v>971</v>
      </c>
    </row>
    <row r="102" spans="1:22">
      <c r="A102">
        <v>101</v>
      </c>
      <c r="B102" t="s">
        <v>118</v>
      </c>
      <c r="C102" t="s">
        <v>305</v>
      </c>
      <c r="D102" t="s">
        <v>406</v>
      </c>
      <c r="I102">
        <v>18500</v>
      </c>
      <c r="K102" t="s">
        <v>515</v>
      </c>
      <c r="L102">
        <f>HYPERLINK("https://maps.cookcountyil.gov/cookviewer/?search=268 W 23RD ST", "268 W 23RD ST")</f>
        <v>0</v>
      </c>
      <c r="N102" t="s">
        <v>602</v>
      </c>
      <c r="P102" t="s">
        <v>696</v>
      </c>
      <c r="Q102" t="s">
        <v>876</v>
      </c>
      <c r="U102">
        <f>HYPERLINK("https://www.cookcountyassessoril.gov/pin/17282110540000", "17-28-211-054-0000")</f>
        <v>0</v>
      </c>
      <c r="V102" t="s">
        <v>970</v>
      </c>
    </row>
    <row r="103" spans="1:22">
      <c r="A103">
        <v>102</v>
      </c>
      <c r="B103" t="s">
        <v>117</v>
      </c>
      <c r="C103" t="s">
        <v>306</v>
      </c>
      <c r="D103" t="s">
        <v>419</v>
      </c>
      <c r="I103">
        <v>1000</v>
      </c>
      <c r="K103" t="s">
        <v>514</v>
      </c>
      <c r="L103">
        <f>HYPERLINK("https://maps.cookcountyil.gov/cookviewer/?search=1336 N ROCKWELL ST", "1336 N ROCKWELL ST")</f>
        <v>0</v>
      </c>
      <c r="N103" t="s">
        <v>602</v>
      </c>
      <c r="P103" t="s">
        <v>695</v>
      </c>
      <c r="Q103" t="s">
        <v>877</v>
      </c>
      <c r="U103">
        <f>HYPERLINK("https://www.cookcountyassessoril.gov/pin/16012170440000", "16-01-217-044-0000")</f>
        <v>0</v>
      </c>
      <c r="V103" t="s">
        <v>971</v>
      </c>
    </row>
    <row r="104" spans="1:22">
      <c r="A104">
        <v>103</v>
      </c>
      <c r="B104" t="s">
        <v>119</v>
      </c>
      <c r="C104" t="s">
        <v>307</v>
      </c>
      <c r="D104" t="s">
        <v>410</v>
      </c>
      <c r="I104">
        <v>5000</v>
      </c>
      <c r="K104" t="s">
        <v>516</v>
      </c>
      <c r="L104">
        <f>HYPERLINK("https://maps.cookcountyil.gov/cookviewer/?search=2746 W FULLERTON AVE", "2746 W FULLERTON AVE")</f>
        <v>0</v>
      </c>
      <c r="N104" t="s">
        <v>602</v>
      </c>
      <c r="P104" t="s">
        <v>697</v>
      </c>
      <c r="Q104" t="s">
        <v>878</v>
      </c>
      <c r="U104">
        <f>HYPERLINK("https://www.cookcountyassessoril.gov/pin/13254240310000", "13-25-424-031-0000")</f>
        <v>0</v>
      </c>
      <c r="V104" t="s">
        <v>970</v>
      </c>
    </row>
    <row r="105" spans="1:22">
      <c r="A105">
        <v>104</v>
      </c>
      <c r="B105" t="s">
        <v>120</v>
      </c>
      <c r="C105" t="s">
        <v>308</v>
      </c>
      <c r="D105" t="s">
        <v>410</v>
      </c>
      <c r="I105">
        <v>20000</v>
      </c>
      <c r="K105" t="s">
        <v>517</v>
      </c>
      <c r="L105">
        <f>HYPERLINK("https://maps.cookcountyil.gov/cookviewer/?search=6200 S ADA ST", "6200 S ADA ST")</f>
        <v>0</v>
      </c>
      <c r="N105" t="s">
        <v>602</v>
      </c>
      <c r="P105" t="s">
        <v>673</v>
      </c>
      <c r="Q105" t="s">
        <v>879</v>
      </c>
      <c r="U105">
        <f>HYPERLINK("https://www.cookcountyassessoril.gov/pin/20173290170000", "20-17-329-017-0000")</f>
        <v>0</v>
      </c>
      <c r="V105" t="s">
        <v>971</v>
      </c>
    </row>
    <row r="106" spans="1:22">
      <c r="A106">
        <v>105</v>
      </c>
      <c r="B106" t="s">
        <v>121</v>
      </c>
      <c r="C106" t="s">
        <v>309</v>
      </c>
      <c r="D106" t="s">
        <v>406</v>
      </c>
      <c r="I106">
        <v>5076</v>
      </c>
      <c r="K106" t="s">
        <v>518</v>
      </c>
      <c r="L106">
        <f>HYPERLINK("https://maps.cookcountyil.gov/cookviewer/?search=2342 N ROCKWELL ST", "2342 N ROCKWELL ST")</f>
        <v>0</v>
      </c>
      <c r="N106" t="s">
        <v>602</v>
      </c>
      <c r="P106" t="s">
        <v>698</v>
      </c>
      <c r="Q106" t="s">
        <v>880</v>
      </c>
      <c r="U106">
        <f>HYPERLINK("https://www.cookcountyassessoril.gov/pin/13362020140000", "13-36-202-014-0000")</f>
        <v>0</v>
      </c>
      <c r="V106" t="s">
        <v>970</v>
      </c>
    </row>
    <row r="107" spans="1:22">
      <c r="A107">
        <v>106</v>
      </c>
      <c r="B107" t="s">
        <v>122</v>
      </c>
      <c r="C107" t="s">
        <v>310</v>
      </c>
      <c r="D107" t="s">
        <v>413</v>
      </c>
      <c r="I107">
        <v>30000</v>
      </c>
      <c r="K107" t="s">
        <v>519</v>
      </c>
      <c r="L107">
        <f>HYPERLINK("https://maps.cookcountyil.gov/cookviewer/?search=5501 W FULLERTON AVE", "5501 W FULLERTON AVE")</f>
        <v>0</v>
      </c>
      <c r="N107" t="s">
        <v>602</v>
      </c>
      <c r="P107" t="s">
        <v>699</v>
      </c>
      <c r="Q107" t="s">
        <v>881</v>
      </c>
      <c r="U107" t="s">
        <v>969</v>
      </c>
      <c r="V107" t="s">
        <v>970</v>
      </c>
    </row>
    <row r="108" spans="1:22">
      <c r="A108">
        <v>107</v>
      </c>
      <c r="B108" t="s">
        <v>123</v>
      </c>
      <c r="C108" t="s">
        <v>311</v>
      </c>
      <c r="D108" t="s">
        <v>417</v>
      </c>
      <c r="I108">
        <v>800</v>
      </c>
      <c r="K108" t="s">
        <v>520</v>
      </c>
      <c r="L108">
        <f>HYPERLINK("https://maps.cookcountyil.gov/cookviewer/?search=11400 S NORMAL AVE", "11400 S NORMAL AVE")</f>
        <v>0</v>
      </c>
      <c r="N108" t="s">
        <v>602</v>
      </c>
      <c r="P108" t="s">
        <v>700</v>
      </c>
      <c r="Q108" t="s">
        <v>882</v>
      </c>
      <c r="U108">
        <f>HYPERLINK("https://www.cookcountyassessoril.gov/pin/25211290110000", "25-21-129-011-0000")</f>
        <v>0</v>
      </c>
      <c r="V108" t="s">
        <v>970</v>
      </c>
    </row>
    <row r="109" spans="1:22">
      <c r="A109">
        <v>108</v>
      </c>
      <c r="B109" t="s">
        <v>124</v>
      </c>
      <c r="C109" t="s">
        <v>312</v>
      </c>
      <c r="D109" t="s">
        <v>410</v>
      </c>
      <c r="I109">
        <v>10010</v>
      </c>
      <c r="K109" t="s">
        <v>521</v>
      </c>
      <c r="L109">
        <f>HYPERLINK("https://maps.cookcountyil.gov/cookviewer/?search=1914 N OAK PARK AVE", "1914 N OAK PARK AVE")</f>
        <v>0</v>
      </c>
      <c r="N109" t="s">
        <v>602</v>
      </c>
      <c r="P109" t="s">
        <v>701</v>
      </c>
      <c r="Q109" t="s">
        <v>883</v>
      </c>
      <c r="U109">
        <f>HYPERLINK("https://www.cookcountyassessoril.gov/pin/13313060360000", "13-31-306-036-0000")</f>
        <v>0</v>
      </c>
      <c r="V109" t="s">
        <v>970</v>
      </c>
    </row>
    <row r="110" spans="1:22">
      <c r="A110">
        <v>109</v>
      </c>
      <c r="B110" t="s">
        <v>125</v>
      </c>
      <c r="C110" t="s">
        <v>313</v>
      </c>
      <c r="D110" t="s">
        <v>406</v>
      </c>
      <c r="I110">
        <v>7472</v>
      </c>
      <c r="K110" t="s">
        <v>522</v>
      </c>
      <c r="L110">
        <f>HYPERLINK("https://maps.cookcountyil.gov/cookviewer/?search=1736 E 92ND PL", "1736 E 92ND PL")</f>
        <v>0</v>
      </c>
      <c r="N110" t="s">
        <v>602</v>
      </c>
      <c r="P110" t="s">
        <v>702</v>
      </c>
      <c r="Q110" t="s">
        <v>884</v>
      </c>
      <c r="U110" t="s">
        <v>969</v>
      </c>
      <c r="V110" t="s">
        <v>970</v>
      </c>
    </row>
    <row r="111" spans="1:22">
      <c r="A111">
        <v>110</v>
      </c>
      <c r="B111" t="s">
        <v>126</v>
      </c>
      <c r="C111" t="s">
        <v>314</v>
      </c>
      <c r="D111" t="s">
        <v>419</v>
      </c>
      <c r="I111">
        <v>16787</v>
      </c>
      <c r="K111" t="s">
        <v>523</v>
      </c>
      <c r="L111">
        <f>HYPERLINK("https://maps.cookcountyil.gov/cookviewer/?search=3748 W 75TH PL", "3748 W 75TH PL")</f>
        <v>0</v>
      </c>
      <c r="N111" t="s">
        <v>602</v>
      </c>
      <c r="P111" t="s">
        <v>703</v>
      </c>
      <c r="Q111" t="s">
        <v>885</v>
      </c>
      <c r="U111">
        <f>HYPERLINK("https://www.cookcountyassessoril.gov/pin/19263030300000", "19-26-303-030-0000")</f>
        <v>0</v>
      </c>
      <c r="V111" t="s">
        <v>971</v>
      </c>
    </row>
    <row r="112" spans="1:22">
      <c r="A112">
        <v>111</v>
      </c>
      <c r="B112" t="s">
        <v>126</v>
      </c>
      <c r="C112" t="s">
        <v>315</v>
      </c>
      <c r="D112" t="s">
        <v>419</v>
      </c>
      <c r="I112">
        <v>1275</v>
      </c>
      <c r="K112" t="s">
        <v>523</v>
      </c>
      <c r="L112">
        <f>HYPERLINK("https://maps.cookcountyil.gov/cookviewer/?search=3748 W 75TH PL", "3748 W 75TH PL")</f>
        <v>0</v>
      </c>
      <c r="N112" t="s">
        <v>602</v>
      </c>
      <c r="P112" t="s">
        <v>703</v>
      </c>
      <c r="Q112" t="s">
        <v>886</v>
      </c>
      <c r="U112">
        <f>HYPERLINK("https://www.cookcountyassessoril.gov/pin/19263030300000", "19-26-303-030-0000")</f>
        <v>0</v>
      </c>
      <c r="V112" t="s">
        <v>970</v>
      </c>
    </row>
    <row r="113" spans="1:22">
      <c r="A113">
        <v>112</v>
      </c>
      <c r="B113" t="s">
        <v>127</v>
      </c>
      <c r="C113" t="s">
        <v>316</v>
      </c>
      <c r="D113" t="s">
        <v>406</v>
      </c>
      <c r="I113">
        <v>5000</v>
      </c>
      <c r="K113" t="s">
        <v>524</v>
      </c>
      <c r="L113">
        <f>HYPERLINK("https://maps.cookcountyil.gov/cookviewer/?search=4449 N CHRISTIANA AVE", "4449 N CHRISTIANA AVE")</f>
        <v>0</v>
      </c>
      <c r="N113" t="s">
        <v>602</v>
      </c>
      <c r="P113" t="s">
        <v>704</v>
      </c>
      <c r="Q113" t="s">
        <v>887</v>
      </c>
      <c r="U113">
        <f>HYPERLINK("https://www.cookcountyassessoril.gov/pin/13142260030000", "13-14-226-003-0000")</f>
        <v>0</v>
      </c>
      <c r="V113" t="s">
        <v>970</v>
      </c>
    </row>
    <row r="114" spans="1:22">
      <c r="A114">
        <v>113</v>
      </c>
      <c r="B114" t="s">
        <v>128</v>
      </c>
      <c r="C114" t="s">
        <v>317</v>
      </c>
      <c r="D114" t="s">
        <v>410</v>
      </c>
      <c r="I114">
        <v>2500</v>
      </c>
      <c r="K114" t="s">
        <v>525</v>
      </c>
      <c r="L114">
        <f>HYPERLINK("https://maps.cookcountyil.gov/cookviewer/?search=5800 N RIDGE AVE", "5800 N RIDGE AVE")</f>
        <v>0</v>
      </c>
      <c r="N114" t="s">
        <v>602</v>
      </c>
      <c r="P114" t="s">
        <v>705</v>
      </c>
      <c r="Q114" t="s">
        <v>888</v>
      </c>
      <c r="U114" t="s">
        <v>969</v>
      </c>
      <c r="V114" t="s">
        <v>970</v>
      </c>
    </row>
    <row r="115" spans="1:22">
      <c r="A115">
        <v>114</v>
      </c>
      <c r="B115" t="s">
        <v>129</v>
      </c>
      <c r="C115" t="s">
        <v>318</v>
      </c>
      <c r="D115" t="s">
        <v>419</v>
      </c>
      <c r="I115">
        <v>55000</v>
      </c>
      <c r="K115" t="s">
        <v>526</v>
      </c>
      <c r="L115">
        <f>HYPERLINK("https://maps.cookcountyil.gov/cookviewer/?search=1430 S MICHIGAN AVE", "1430 S MICHIGAN AVE")</f>
        <v>0</v>
      </c>
      <c r="N115" t="s">
        <v>602</v>
      </c>
      <c r="P115" t="s">
        <v>706</v>
      </c>
      <c r="Q115" t="s">
        <v>889</v>
      </c>
      <c r="U115" t="s">
        <v>969</v>
      </c>
      <c r="V115" t="s">
        <v>971</v>
      </c>
    </row>
    <row r="116" spans="1:22">
      <c r="A116">
        <v>115</v>
      </c>
      <c r="B116" t="s">
        <v>130</v>
      </c>
      <c r="C116" t="s">
        <v>319</v>
      </c>
      <c r="D116" t="s">
        <v>406</v>
      </c>
      <c r="I116">
        <v>8250</v>
      </c>
      <c r="K116" t="s">
        <v>527</v>
      </c>
      <c r="L116">
        <f>HYPERLINK("https://maps.cookcountyil.gov/cookviewer/?search=4627 S LARAMIE AVE", "4627 S LARAMIE AVE")</f>
        <v>0</v>
      </c>
      <c r="N116" t="s">
        <v>602</v>
      </c>
      <c r="P116" t="s">
        <v>707</v>
      </c>
      <c r="Q116" t="s">
        <v>890</v>
      </c>
      <c r="U116">
        <f>HYPERLINK("https://www.cookcountyassessoril.gov/pin/19044240100000", "19-04-424-010-0000")</f>
        <v>0</v>
      </c>
      <c r="V116" t="s">
        <v>970</v>
      </c>
    </row>
    <row r="117" spans="1:22">
      <c r="A117">
        <v>116</v>
      </c>
      <c r="B117" t="s">
        <v>131</v>
      </c>
      <c r="C117" t="s">
        <v>320</v>
      </c>
      <c r="D117" t="s">
        <v>406</v>
      </c>
      <c r="I117">
        <v>10000</v>
      </c>
      <c r="K117" t="s">
        <v>528</v>
      </c>
      <c r="L117">
        <f>HYPERLINK("https://maps.cookcountyil.gov/cookviewer/?search=2901 W 73RD ST", "2901 W 73RD ST")</f>
        <v>0</v>
      </c>
      <c r="N117" t="s">
        <v>602</v>
      </c>
      <c r="P117" t="s">
        <v>708</v>
      </c>
      <c r="Q117" t="s">
        <v>844</v>
      </c>
      <c r="U117">
        <f>HYPERLINK("https://www.cookcountyassessoril.gov/pin/19251210190000", "19-25-121-019-0000")</f>
        <v>0</v>
      </c>
      <c r="V117" t="s">
        <v>970</v>
      </c>
    </row>
    <row r="118" spans="1:22">
      <c r="A118">
        <v>117</v>
      </c>
      <c r="B118" t="s">
        <v>132</v>
      </c>
      <c r="C118" t="s">
        <v>321</v>
      </c>
      <c r="D118" t="s">
        <v>410</v>
      </c>
      <c r="I118">
        <v>6600</v>
      </c>
      <c r="K118" t="s">
        <v>529</v>
      </c>
      <c r="L118">
        <f>HYPERLINK("https://maps.cookcountyil.gov/cookviewer/?search=3356 N NEW ENGLAND AVE", "3356 N NEW ENGLAND AVE")</f>
        <v>0</v>
      </c>
      <c r="N118" t="s">
        <v>602</v>
      </c>
      <c r="P118" t="s">
        <v>709</v>
      </c>
      <c r="Q118" t="s">
        <v>891</v>
      </c>
      <c r="U118">
        <f>HYPERLINK("https://www.cookcountyassessoril.gov/pin/13193230470000", "13-19-323-047-0000")</f>
        <v>0</v>
      </c>
      <c r="V118" t="s">
        <v>970</v>
      </c>
    </row>
    <row r="119" spans="1:22">
      <c r="A119">
        <v>118</v>
      </c>
      <c r="B119" t="s">
        <v>133</v>
      </c>
      <c r="C119" t="s">
        <v>322</v>
      </c>
      <c r="D119" t="s">
        <v>410</v>
      </c>
      <c r="I119">
        <v>3000</v>
      </c>
      <c r="K119" t="s">
        <v>530</v>
      </c>
      <c r="L119">
        <f>HYPERLINK("https://maps.cookcountyil.gov/cookviewer/?search=4030 N MASON AVE", "4030 N MASON AVE")</f>
        <v>0</v>
      </c>
      <c r="N119" t="s">
        <v>602</v>
      </c>
      <c r="P119" t="s">
        <v>710</v>
      </c>
      <c r="Q119" t="s">
        <v>892</v>
      </c>
      <c r="U119">
        <f>HYPERLINK("https://www.cookcountyassessoril.gov/pin/13174210230000", "13-17-421-023-0000")</f>
        <v>0</v>
      </c>
      <c r="V119" t="s">
        <v>970</v>
      </c>
    </row>
    <row r="120" spans="1:22">
      <c r="A120">
        <v>119</v>
      </c>
      <c r="B120" t="s">
        <v>134</v>
      </c>
      <c r="C120" t="s">
        <v>323</v>
      </c>
      <c r="D120" t="s">
        <v>410</v>
      </c>
      <c r="I120">
        <v>2800</v>
      </c>
      <c r="K120" t="s">
        <v>531</v>
      </c>
      <c r="L120">
        <f>HYPERLINK("https://maps.cookcountyil.gov/cookviewer/?search=7513 N SHERIDAN RD", "7513 N SHERIDAN RD")</f>
        <v>0</v>
      </c>
      <c r="N120" t="s">
        <v>602</v>
      </c>
      <c r="P120" t="s">
        <v>711</v>
      </c>
      <c r="Q120" t="s">
        <v>893</v>
      </c>
      <c r="U120">
        <f>HYPERLINK("https://www.cookcountyassessoril.gov/pin/11293030250000", "11-29-303-025-0000")</f>
        <v>0</v>
      </c>
      <c r="V120" t="s">
        <v>970</v>
      </c>
    </row>
    <row r="121" spans="1:22">
      <c r="A121">
        <v>120</v>
      </c>
      <c r="B121" t="s">
        <v>135</v>
      </c>
      <c r="C121" t="s">
        <v>324</v>
      </c>
      <c r="D121" t="s">
        <v>419</v>
      </c>
      <c r="I121">
        <v>3000</v>
      </c>
      <c r="K121" t="s">
        <v>532</v>
      </c>
      <c r="L121">
        <f>HYPERLINK("https://maps.cookcountyil.gov/cookviewer/?search=195 N HARBOR DR", "195 N HARBOR DR")</f>
        <v>0</v>
      </c>
      <c r="N121" t="s">
        <v>602</v>
      </c>
      <c r="P121" t="s">
        <v>712</v>
      </c>
      <c r="Q121" t="s">
        <v>894</v>
      </c>
      <c r="U121" t="s">
        <v>969</v>
      </c>
      <c r="V121" t="s">
        <v>970</v>
      </c>
    </row>
    <row r="122" spans="1:22">
      <c r="A122">
        <v>121</v>
      </c>
      <c r="B122" t="s">
        <v>136</v>
      </c>
      <c r="C122" t="s">
        <v>325</v>
      </c>
      <c r="D122" t="s">
        <v>413</v>
      </c>
      <c r="I122">
        <v>7700</v>
      </c>
      <c r="K122" t="s">
        <v>533</v>
      </c>
      <c r="L122">
        <f>HYPERLINK("https://maps.cookcountyil.gov/cookviewer/?search=4620 S WOODLAWN AVE", "4620 S WOODLAWN AVE")</f>
        <v>0</v>
      </c>
      <c r="N122" t="s">
        <v>602</v>
      </c>
      <c r="P122" t="s">
        <v>713</v>
      </c>
      <c r="Q122" t="s">
        <v>895</v>
      </c>
      <c r="U122">
        <f>HYPERLINK("https://www.cookcountyassessoril.gov/pin/20023180440000", "20-02-318-044-0000"), =HYPERLINK("https://www.cookcountyassessoril.gov/pin/20023180620000", "20-02-318-062-0000")</f>
        <v>0</v>
      </c>
      <c r="V122" t="s">
        <v>971</v>
      </c>
    </row>
    <row r="123" spans="1:22">
      <c r="A123">
        <v>122</v>
      </c>
      <c r="B123" t="s">
        <v>137</v>
      </c>
      <c r="C123" t="s">
        <v>326</v>
      </c>
      <c r="D123" t="s">
        <v>405</v>
      </c>
      <c r="I123">
        <v>18243</v>
      </c>
      <c r="K123" t="s">
        <v>534</v>
      </c>
      <c r="L123">
        <f>HYPERLINK("https://maps.cookcountyil.gov/cookviewer/?search=11531 S LAFLIN ST", "11531 S LAFLIN ST")</f>
        <v>0</v>
      </c>
      <c r="N123" t="s">
        <v>602</v>
      </c>
      <c r="P123" t="s">
        <v>714</v>
      </c>
      <c r="Q123" t="s">
        <v>896</v>
      </c>
      <c r="U123" t="s">
        <v>969</v>
      </c>
      <c r="V123" t="s">
        <v>971</v>
      </c>
    </row>
    <row r="124" spans="1:22">
      <c r="A124">
        <v>123</v>
      </c>
      <c r="B124" t="s">
        <v>138</v>
      </c>
      <c r="C124" t="s">
        <v>327</v>
      </c>
      <c r="D124" t="s">
        <v>417</v>
      </c>
      <c r="I124">
        <v>25753</v>
      </c>
      <c r="K124" t="s">
        <v>535</v>
      </c>
      <c r="L124">
        <f>HYPERLINK("https://maps.cookcountyil.gov/cookviewer/?search=9702 S LAFAYETTE AVE", "9702 S LAFAYETTE AVE")</f>
        <v>0</v>
      </c>
      <c r="N124" t="s">
        <v>602</v>
      </c>
      <c r="P124" t="s">
        <v>715</v>
      </c>
      <c r="Q124" t="s">
        <v>897</v>
      </c>
      <c r="U124" t="s">
        <v>969</v>
      </c>
      <c r="V124" t="s">
        <v>971</v>
      </c>
    </row>
    <row r="125" spans="1:22">
      <c r="A125">
        <v>124</v>
      </c>
      <c r="B125" t="s">
        <v>139</v>
      </c>
      <c r="C125" t="s">
        <v>328</v>
      </c>
      <c r="D125" t="s">
        <v>406</v>
      </c>
      <c r="I125">
        <v>1980</v>
      </c>
      <c r="K125" t="s">
        <v>536</v>
      </c>
      <c r="L125">
        <f>HYPERLINK("https://maps.cookcountyil.gov/cookviewer/?search=9634 S GENOA AVE", "9634 S GENOA AVE")</f>
        <v>0</v>
      </c>
      <c r="N125" t="s">
        <v>602</v>
      </c>
      <c r="P125" t="s">
        <v>716</v>
      </c>
      <c r="Q125" t="s">
        <v>898</v>
      </c>
      <c r="U125">
        <f>HYPERLINK("https://www.cookcountyassessoril.gov/pin/25082090150000", "25-08-209-015-0000")</f>
        <v>0</v>
      </c>
      <c r="V125" t="s">
        <v>970</v>
      </c>
    </row>
    <row r="126" spans="1:22">
      <c r="A126">
        <v>125</v>
      </c>
      <c r="B126" t="s">
        <v>140</v>
      </c>
      <c r="C126" t="s">
        <v>329</v>
      </c>
      <c r="D126" t="s">
        <v>419</v>
      </c>
      <c r="I126">
        <v>1700</v>
      </c>
      <c r="K126" t="s">
        <v>537</v>
      </c>
      <c r="L126">
        <f>HYPERLINK("https://maps.cookcountyil.gov/cookviewer/?search=1050 W FOSTER AVE", "1050 W FOSTER AVE")</f>
        <v>0</v>
      </c>
      <c r="N126" t="s">
        <v>602</v>
      </c>
      <c r="P126" t="s">
        <v>717</v>
      </c>
      <c r="Q126" t="s">
        <v>899</v>
      </c>
      <c r="U126" t="s">
        <v>969</v>
      </c>
      <c r="V126" t="s">
        <v>970</v>
      </c>
    </row>
    <row r="127" spans="1:22">
      <c r="A127">
        <v>126</v>
      </c>
      <c r="B127" t="s">
        <v>141</v>
      </c>
      <c r="C127" t="s">
        <v>330</v>
      </c>
      <c r="D127" t="s">
        <v>406</v>
      </c>
      <c r="I127">
        <v>40000</v>
      </c>
      <c r="K127" t="s">
        <v>538</v>
      </c>
      <c r="L127">
        <f>HYPERLINK("https://maps.cookcountyil.gov/cookviewer/?search=700 N NOBLE ST", "700 N NOBLE ST")</f>
        <v>0</v>
      </c>
      <c r="N127" t="s">
        <v>602</v>
      </c>
      <c r="P127" t="s">
        <v>718</v>
      </c>
      <c r="Q127" t="s">
        <v>900</v>
      </c>
      <c r="U127">
        <f>HYPERLINK("https://www.cookcountyassessoril.gov/pin/17081100300000", "17-08-110-030-0000")</f>
        <v>0</v>
      </c>
      <c r="V127" t="s">
        <v>970</v>
      </c>
    </row>
    <row r="128" spans="1:22">
      <c r="A128">
        <v>127</v>
      </c>
      <c r="B128" t="s">
        <v>142</v>
      </c>
      <c r="C128" t="s">
        <v>331</v>
      </c>
      <c r="D128" t="s">
        <v>406</v>
      </c>
      <c r="I128">
        <v>1600</v>
      </c>
      <c r="K128" t="s">
        <v>539</v>
      </c>
      <c r="L128">
        <f>HYPERLINK("https://maps.cookcountyil.gov/cookviewer/?search=9034 S RIDGELAND AVE", "9034 S RIDGELAND AVE")</f>
        <v>0</v>
      </c>
      <c r="N128" t="s">
        <v>602</v>
      </c>
      <c r="P128" t="s">
        <v>719</v>
      </c>
      <c r="Q128" t="s">
        <v>901</v>
      </c>
      <c r="U128">
        <f>HYPERLINK("https://www.cookcountyassessoril.gov/pin/25011270310000", "25-01-127-031-0000")</f>
        <v>0</v>
      </c>
      <c r="V128" t="s">
        <v>970</v>
      </c>
    </row>
    <row r="129" spans="1:22">
      <c r="A129">
        <v>128</v>
      </c>
      <c r="B129" t="s">
        <v>143</v>
      </c>
      <c r="C129" t="s">
        <v>332</v>
      </c>
      <c r="D129" t="s">
        <v>413</v>
      </c>
      <c r="I129">
        <v>900</v>
      </c>
      <c r="K129" t="s">
        <v>540</v>
      </c>
      <c r="L129">
        <f>HYPERLINK("https://maps.cookcountyil.gov/cookviewer/?search=7059 S SOUTH SHORE DR", "7059 S SOUTH SHORE DR")</f>
        <v>0</v>
      </c>
      <c r="N129" t="s">
        <v>602</v>
      </c>
      <c r="P129" t="s">
        <v>720</v>
      </c>
      <c r="Q129" t="s">
        <v>902</v>
      </c>
      <c r="U129" t="s">
        <v>969</v>
      </c>
      <c r="V129" t="s">
        <v>970</v>
      </c>
    </row>
    <row r="130" spans="1:22">
      <c r="A130">
        <v>129</v>
      </c>
      <c r="B130" t="s">
        <v>144</v>
      </c>
      <c r="C130" t="s">
        <v>333</v>
      </c>
      <c r="D130" t="s">
        <v>406</v>
      </c>
      <c r="I130">
        <v>23450</v>
      </c>
      <c r="K130" t="s">
        <v>541</v>
      </c>
      <c r="L130">
        <f>HYPERLINK("https://maps.cookcountyil.gov/cookviewer/?search=2248 W FARWELL AVE", "2248 W FARWELL AVE")</f>
        <v>0</v>
      </c>
      <c r="N130" t="s">
        <v>602</v>
      </c>
      <c r="P130" t="s">
        <v>721</v>
      </c>
      <c r="Q130" t="s">
        <v>903</v>
      </c>
      <c r="U130" t="s">
        <v>969</v>
      </c>
      <c r="V130" t="s">
        <v>970</v>
      </c>
    </row>
    <row r="131" spans="1:22">
      <c r="A131">
        <v>130</v>
      </c>
      <c r="B131" t="s">
        <v>145</v>
      </c>
      <c r="C131" t="s">
        <v>334</v>
      </c>
      <c r="D131" t="s">
        <v>413</v>
      </c>
      <c r="I131">
        <v>3200</v>
      </c>
      <c r="K131" t="s">
        <v>542</v>
      </c>
      <c r="L131">
        <f>HYPERLINK("https://maps.cookcountyil.gov/cookviewer/?search=2840 N LINCOLN AVE", "2840 N LINCOLN AVE")</f>
        <v>0</v>
      </c>
      <c r="N131" t="s">
        <v>602</v>
      </c>
      <c r="P131" t="s">
        <v>722</v>
      </c>
      <c r="Q131" t="s">
        <v>904</v>
      </c>
      <c r="U131" t="s">
        <v>969</v>
      </c>
      <c r="V131" t="s">
        <v>970</v>
      </c>
    </row>
    <row r="132" spans="1:22">
      <c r="A132">
        <v>131</v>
      </c>
      <c r="B132" t="s">
        <v>146</v>
      </c>
      <c r="C132" t="s">
        <v>335</v>
      </c>
      <c r="D132" t="s">
        <v>413</v>
      </c>
      <c r="I132">
        <v>55000</v>
      </c>
      <c r="K132" t="s">
        <v>543</v>
      </c>
      <c r="L132">
        <f>HYPERLINK("https://maps.cookcountyil.gov/cookviewer/?search=4607 N SHERIDAN RD", "4607 N SHERIDAN RD")</f>
        <v>0</v>
      </c>
      <c r="N132" t="s">
        <v>602</v>
      </c>
      <c r="P132" t="s">
        <v>723</v>
      </c>
      <c r="Q132" t="s">
        <v>905</v>
      </c>
      <c r="U132">
        <f>HYPERLINK("https://www.cookcountyassessoril.gov/pin/14172140090000", "14-17-214-009-0000")</f>
        <v>0</v>
      </c>
      <c r="V132" t="s">
        <v>970</v>
      </c>
    </row>
    <row r="133" spans="1:22">
      <c r="A133">
        <v>132</v>
      </c>
      <c r="B133" t="s">
        <v>147</v>
      </c>
      <c r="C133" t="s">
        <v>336</v>
      </c>
      <c r="D133" t="s">
        <v>413</v>
      </c>
      <c r="I133">
        <v>25000</v>
      </c>
      <c r="K133" t="s">
        <v>544</v>
      </c>
      <c r="L133">
        <f>HYPERLINK("https://maps.cookcountyil.gov/cookviewer/?search=605 N MICHIGAN AVE", "605 N MICHIGAN AVE")</f>
        <v>0</v>
      </c>
      <c r="N133" t="s">
        <v>602</v>
      </c>
      <c r="P133" t="s">
        <v>724</v>
      </c>
      <c r="Q133" t="s">
        <v>906</v>
      </c>
      <c r="U133">
        <f>HYPERLINK("https://www.cookcountyassessoril.gov/pin/17101180060000", "17-10-118-006-0000")</f>
        <v>0</v>
      </c>
      <c r="V133" t="s">
        <v>970</v>
      </c>
    </row>
    <row r="134" spans="1:22">
      <c r="A134">
        <v>133</v>
      </c>
      <c r="B134" t="s">
        <v>148</v>
      </c>
      <c r="C134" t="s">
        <v>337</v>
      </c>
      <c r="D134" t="s">
        <v>406</v>
      </c>
      <c r="I134">
        <v>700</v>
      </c>
      <c r="K134" t="s">
        <v>545</v>
      </c>
      <c r="L134">
        <f>HYPERLINK("https://maps.cookcountyil.gov/cookviewer/?search=3510 N OKETO AVE", "3510 N OKETO AVE")</f>
        <v>0</v>
      </c>
      <c r="N134" t="s">
        <v>602</v>
      </c>
      <c r="P134" t="s">
        <v>725</v>
      </c>
      <c r="Q134" t="s">
        <v>907</v>
      </c>
      <c r="U134">
        <f>HYPERLINK("https://www.cookcountyassessoril.gov/pin/12244030360000", "12-24-403-036-0000")</f>
        <v>0</v>
      </c>
      <c r="V134" t="s">
        <v>971</v>
      </c>
    </row>
    <row r="135" spans="1:22">
      <c r="A135">
        <v>134</v>
      </c>
      <c r="B135" t="s">
        <v>149</v>
      </c>
      <c r="C135" t="s">
        <v>338</v>
      </c>
      <c r="D135" t="s">
        <v>417</v>
      </c>
      <c r="I135">
        <v>6000</v>
      </c>
      <c r="K135" t="s">
        <v>546</v>
      </c>
      <c r="L135">
        <f>HYPERLINK("https://maps.cookcountyil.gov/cookviewer/?search=4343 S CHRISTIANA AVE", "4343 S CHRISTIANA AVE")</f>
        <v>0</v>
      </c>
      <c r="N135" t="s">
        <v>602</v>
      </c>
      <c r="P135" t="s">
        <v>726</v>
      </c>
      <c r="Q135" t="s">
        <v>908</v>
      </c>
      <c r="U135">
        <f>HYPERLINK("https://www.cookcountyassessoril.gov/pin/19024050710000", "19-02-405-071-0000")</f>
        <v>0</v>
      </c>
      <c r="V135" t="s">
        <v>970</v>
      </c>
    </row>
    <row r="136" spans="1:22">
      <c r="A136">
        <v>135</v>
      </c>
      <c r="B136" t="s">
        <v>150</v>
      </c>
      <c r="C136" t="s">
        <v>339</v>
      </c>
      <c r="D136" t="s">
        <v>409</v>
      </c>
      <c r="I136">
        <v>100000</v>
      </c>
      <c r="K136" t="s">
        <v>547</v>
      </c>
      <c r="L136">
        <f>HYPERLINK("https://maps.cookcountyil.gov/cookviewer/?search=3719 N BELL AVE", "3719 N BELL AVE")</f>
        <v>0</v>
      </c>
      <c r="N136" t="s">
        <v>602</v>
      </c>
      <c r="P136" t="s">
        <v>727</v>
      </c>
      <c r="Q136" t="s">
        <v>909</v>
      </c>
      <c r="U136">
        <f>HYPERLINK("https://www.cookcountyassessoril.gov/pin/14191190140000", "14-19-119-014-0000")</f>
        <v>0</v>
      </c>
      <c r="V136" t="s">
        <v>970</v>
      </c>
    </row>
    <row r="137" spans="1:22">
      <c r="A137">
        <v>136</v>
      </c>
      <c r="B137" t="s">
        <v>149</v>
      </c>
      <c r="C137" t="s">
        <v>340</v>
      </c>
      <c r="D137" t="s">
        <v>417</v>
      </c>
      <c r="I137">
        <v>10500</v>
      </c>
      <c r="K137" t="s">
        <v>546</v>
      </c>
      <c r="L137">
        <f>HYPERLINK("https://maps.cookcountyil.gov/cookviewer/?search=4343 S CHRISTIANA AVE", "4343 S CHRISTIANA AVE")</f>
        <v>0</v>
      </c>
      <c r="N137" t="s">
        <v>602</v>
      </c>
      <c r="P137" t="s">
        <v>726</v>
      </c>
      <c r="Q137" t="s">
        <v>910</v>
      </c>
      <c r="U137">
        <f>HYPERLINK("https://www.cookcountyassessoril.gov/pin/19024050710000", "19-02-405-071-0000")</f>
        <v>0</v>
      </c>
      <c r="V137" t="s">
        <v>970</v>
      </c>
    </row>
    <row r="138" spans="1:22">
      <c r="A138">
        <v>137</v>
      </c>
      <c r="B138" t="s">
        <v>151</v>
      </c>
      <c r="C138" t="s">
        <v>341</v>
      </c>
      <c r="D138" t="s">
        <v>419</v>
      </c>
      <c r="I138">
        <v>15530</v>
      </c>
      <c r="K138" t="s">
        <v>548</v>
      </c>
      <c r="L138">
        <f>HYPERLINK("https://maps.cookcountyil.gov/cookviewer/?search=1927 N SEDGWICK ST", "1927 N SEDGWICK ST")</f>
        <v>0</v>
      </c>
      <c r="N138" t="s">
        <v>602</v>
      </c>
      <c r="P138" t="s">
        <v>728</v>
      </c>
      <c r="Q138" t="s">
        <v>911</v>
      </c>
      <c r="U138">
        <f>HYPERLINK("https://www.cookcountyassessoril.gov/pin/14334010680000", "14-33-401-068-0000")</f>
        <v>0</v>
      </c>
      <c r="V138" t="s">
        <v>970</v>
      </c>
    </row>
    <row r="139" spans="1:22">
      <c r="A139">
        <v>138</v>
      </c>
      <c r="B139" t="s">
        <v>152</v>
      </c>
      <c r="C139" t="s">
        <v>342</v>
      </c>
      <c r="D139" t="s">
        <v>413</v>
      </c>
      <c r="I139">
        <v>8000</v>
      </c>
      <c r="K139" t="s">
        <v>549</v>
      </c>
      <c r="L139">
        <f>HYPERLINK("https://maps.cookcountyil.gov/cookviewer/?search=5050 N SHERIDAN RD", "5050 N SHERIDAN RD")</f>
        <v>0</v>
      </c>
      <c r="N139" t="s">
        <v>602</v>
      </c>
      <c r="P139" t="s">
        <v>729</v>
      </c>
      <c r="Q139" t="s">
        <v>912</v>
      </c>
      <c r="U139">
        <f>HYPERLINK("https://www.cookcountyassessoril.gov/pin/14084060110000", "14-08-406-011-0000")</f>
        <v>0</v>
      </c>
      <c r="V139" t="s">
        <v>970</v>
      </c>
    </row>
    <row r="140" spans="1:22">
      <c r="A140">
        <v>139</v>
      </c>
      <c r="B140" t="s">
        <v>153</v>
      </c>
      <c r="C140" t="s">
        <v>343</v>
      </c>
      <c r="D140" t="s">
        <v>419</v>
      </c>
      <c r="I140">
        <v>40000</v>
      </c>
      <c r="K140" t="s">
        <v>550</v>
      </c>
      <c r="L140">
        <f>HYPERLINK("https://maps.cookcountyil.gov/cookviewer/?search=2138 W 107TH PL", "2138 W 107TH PL")</f>
        <v>0</v>
      </c>
      <c r="N140" t="s">
        <v>602</v>
      </c>
      <c r="P140" t="s">
        <v>730</v>
      </c>
      <c r="Q140" t="s">
        <v>913</v>
      </c>
      <c r="U140">
        <f>HYPERLINK("https://www.cookcountyassessoril.gov/pin/25183010250000", "25-18-301-025-0000")</f>
        <v>0</v>
      </c>
      <c r="V140" t="s">
        <v>971</v>
      </c>
    </row>
    <row r="141" spans="1:22">
      <c r="A141">
        <v>140</v>
      </c>
      <c r="B141" t="s">
        <v>154</v>
      </c>
      <c r="C141" t="s">
        <v>344</v>
      </c>
      <c r="D141" t="s">
        <v>417</v>
      </c>
      <c r="I141">
        <v>1500</v>
      </c>
      <c r="K141" t="s">
        <v>551</v>
      </c>
      <c r="L141">
        <f>HYPERLINK("https://maps.cookcountyil.gov/cookviewer/?search=7646 S INDIANA AVE", "7646 S INDIANA AVE")</f>
        <v>0</v>
      </c>
      <c r="N141" t="s">
        <v>602</v>
      </c>
      <c r="P141" t="s">
        <v>731</v>
      </c>
      <c r="Q141" t="s">
        <v>914</v>
      </c>
      <c r="U141">
        <f>HYPERLINK("https://www.cookcountyassessoril.gov/pin/20273080300000", "20-27-308-030-0000")</f>
        <v>0</v>
      </c>
      <c r="V141" t="s">
        <v>970</v>
      </c>
    </row>
    <row r="142" spans="1:22">
      <c r="A142">
        <v>141</v>
      </c>
      <c r="B142" t="s">
        <v>155</v>
      </c>
      <c r="C142" t="s">
        <v>345</v>
      </c>
      <c r="D142" t="s">
        <v>419</v>
      </c>
      <c r="I142">
        <v>474</v>
      </c>
      <c r="K142" t="s">
        <v>552</v>
      </c>
      <c r="L142">
        <f>HYPERLINK("https://maps.cookcountyil.gov/cookviewer/?search=1520 N SEDGWICK ST", "1520 N SEDGWICK ST")</f>
        <v>0</v>
      </c>
      <c r="N142" t="s">
        <v>602</v>
      </c>
      <c r="P142" t="s">
        <v>732</v>
      </c>
      <c r="Q142" t="s">
        <v>915</v>
      </c>
      <c r="U142">
        <f>HYPERLINK("https://www.cookcountyassessoril.gov/pin/17041110541001", "17-04-111-054-1001")</f>
        <v>0</v>
      </c>
      <c r="V142" t="s">
        <v>970</v>
      </c>
    </row>
    <row r="143" spans="1:22">
      <c r="A143">
        <v>142</v>
      </c>
      <c r="B143" t="s">
        <v>156</v>
      </c>
      <c r="C143" t="s">
        <v>346</v>
      </c>
      <c r="D143" t="s">
        <v>406</v>
      </c>
      <c r="I143">
        <v>20000</v>
      </c>
      <c r="K143" t="s">
        <v>553</v>
      </c>
      <c r="L143">
        <f>HYPERLINK("https://maps.cookcountyil.gov/cookviewer/?search=1133 S MONITOR AVE", "1133 S MONITOR AVE")</f>
        <v>0</v>
      </c>
      <c r="N143" t="s">
        <v>602</v>
      </c>
      <c r="P143" t="s">
        <v>733</v>
      </c>
      <c r="Q143" t="s">
        <v>916</v>
      </c>
      <c r="U143">
        <f>HYPERLINK("https://www.cookcountyassessoril.gov/pin/16174120100000", "16-17-412-010-0000")</f>
        <v>0</v>
      </c>
      <c r="V143" t="s">
        <v>970</v>
      </c>
    </row>
    <row r="144" spans="1:22">
      <c r="A144">
        <v>143</v>
      </c>
      <c r="B144" t="s">
        <v>157</v>
      </c>
      <c r="C144" t="s">
        <v>347</v>
      </c>
      <c r="D144" t="s">
        <v>419</v>
      </c>
      <c r="I144">
        <v>3750</v>
      </c>
      <c r="K144" t="s">
        <v>554</v>
      </c>
      <c r="L144">
        <f>HYPERLINK("https://maps.cookcountyil.gov/cookviewer/?search=1154 E 49TH ST", "1154 E 49TH ST")</f>
        <v>0</v>
      </c>
      <c r="N144" t="s">
        <v>602</v>
      </c>
      <c r="P144" t="s">
        <v>651</v>
      </c>
      <c r="Q144" t="s">
        <v>917</v>
      </c>
      <c r="U144">
        <f>HYPERLINK("https://www.cookcountyassessoril.gov/pin/20111080260000", "20-11-108-026-0000")</f>
        <v>0</v>
      </c>
      <c r="V144" t="s">
        <v>970</v>
      </c>
    </row>
    <row r="145" spans="1:22">
      <c r="A145">
        <v>144</v>
      </c>
      <c r="B145" t="s">
        <v>158</v>
      </c>
      <c r="C145" t="s">
        <v>348</v>
      </c>
      <c r="D145" t="s">
        <v>406</v>
      </c>
      <c r="I145">
        <v>15321</v>
      </c>
      <c r="K145" t="s">
        <v>555</v>
      </c>
      <c r="L145">
        <f>HYPERLINK("https://maps.cookcountyil.gov/cookviewer/?search=3127 N OSCEOLA AVE", "3127 N OSCEOLA AVE")</f>
        <v>0</v>
      </c>
      <c r="N145" t="s">
        <v>602</v>
      </c>
      <c r="P145" t="s">
        <v>734</v>
      </c>
      <c r="Q145" t="s">
        <v>916</v>
      </c>
      <c r="U145">
        <f>HYPERLINK("https://www.cookcountyassessoril.gov/pin/12252030140000", "12-25-203-014-0000")</f>
        <v>0</v>
      </c>
      <c r="V145" t="s">
        <v>970</v>
      </c>
    </row>
    <row r="146" spans="1:22">
      <c r="A146">
        <v>145</v>
      </c>
      <c r="B146" t="s">
        <v>159</v>
      </c>
      <c r="C146" t="s">
        <v>349</v>
      </c>
      <c r="D146" t="s">
        <v>417</v>
      </c>
      <c r="I146">
        <v>26024</v>
      </c>
      <c r="K146" t="s">
        <v>556</v>
      </c>
      <c r="L146">
        <f>HYPERLINK("https://maps.cookcountyil.gov/cookviewer/?search=5531 W WARWICK AVE", "5531 W WARWICK AVE")</f>
        <v>0</v>
      </c>
      <c r="N146" t="s">
        <v>602</v>
      </c>
      <c r="P146" t="s">
        <v>735</v>
      </c>
      <c r="Q146" t="s">
        <v>918</v>
      </c>
      <c r="U146">
        <f>HYPERLINK("https://www.cookcountyassessoril.gov/pin/13211200090000", "13-21-120-009-0000")</f>
        <v>0</v>
      </c>
      <c r="V146" t="s">
        <v>971</v>
      </c>
    </row>
    <row r="147" spans="1:22">
      <c r="A147">
        <v>146</v>
      </c>
      <c r="B147" t="s">
        <v>160</v>
      </c>
      <c r="C147" t="s">
        <v>350</v>
      </c>
      <c r="D147" t="s">
        <v>419</v>
      </c>
      <c r="I147">
        <v>27591</v>
      </c>
      <c r="K147" t="s">
        <v>557</v>
      </c>
      <c r="L147">
        <f>HYPERLINK("https://maps.cookcountyil.gov/cookviewer/?search=7959 S ARTESIAN AVE", "7959 S ARTESIAN AVE")</f>
        <v>0</v>
      </c>
      <c r="N147" t="s">
        <v>602</v>
      </c>
      <c r="P147" t="s">
        <v>736</v>
      </c>
      <c r="Q147" t="s">
        <v>919</v>
      </c>
      <c r="U147">
        <f>HYPERLINK("https://www.cookcountyassessoril.gov/pin/19362070180000", "19-36-207-018-0000")</f>
        <v>0</v>
      </c>
      <c r="V147" t="s">
        <v>971</v>
      </c>
    </row>
    <row r="148" spans="1:22">
      <c r="A148">
        <v>147</v>
      </c>
      <c r="B148" t="s">
        <v>154</v>
      </c>
      <c r="C148" t="s">
        <v>351</v>
      </c>
      <c r="D148" t="s">
        <v>417</v>
      </c>
      <c r="I148">
        <v>7500</v>
      </c>
      <c r="K148" t="s">
        <v>551</v>
      </c>
      <c r="L148">
        <f>HYPERLINK("https://maps.cookcountyil.gov/cookviewer/?search=7646 S INDIANA AVE", "7646 S INDIANA AVE")</f>
        <v>0</v>
      </c>
      <c r="N148" t="s">
        <v>602</v>
      </c>
      <c r="P148" t="s">
        <v>731</v>
      </c>
      <c r="Q148" t="s">
        <v>920</v>
      </c>
      <c r="U148">
        <f>HYPERLINK("https://www.cookcountyassessoril.gov/pin/20273080300000", "20-27-308-030-0000")</f>
        <v>0</v>
      </c>
      <c r="V148" t="s">
        <v>970</v>
      </c>
    </row>
    <row r="149" spans="1:22">
      <c r="A149">
        <v>148</v>
      </c>
      <c r="B149" t="s">
        <v>154</v>
      </c>
      <c r="C149" t="s">
        <v>352</v>
      </c>
      <c r="D149" t="s">
        <v>417</v>
      </c>
      <c r="I149">
        <v>11000</v>
      </c>
      <c r="K149" t="s">
        <v>551</v>
      </c>
      <c r="L149">
        <f>HYPERLINK("https://maps.cookcountyil.gov/cookviewer/?search=7646 S INDIANA AVE", "7646 S INDIANA AVE")</f>
        <v>0</v>
      </c>
      <c r="N149" t="s">
        <v>602</v>
      </c>
      <c r="P149" t="s">
        <v>731</v>
      </c>
      <c r="Q149" t="s">
        <v>921</v>
      </c>
      <c r="U149">
        <f>HYPERLINK("https://www.cookcountyassessoril.gov/pin/20273080300000", "20-27-308-030-0000")</f>
        <v>0</v>
      </c>
      <c r="V149" t="s">
        <v>970</v>
      </c>
    </row>
    <row r="150" spans="1:22">
      <c r="A150">
        <v>149</v>
      </c>
      <c r="B150" t="s">
        <v>161</v>
      </c>
      <c r="C150" t="s">
        <v>353</v>
      </c>
      <c r="D150" t="s">
        <v>417</v>
      </c>
      <c r="I150">
        <v>450</v>
      </c>
      <c r="K150" t="s">
        <v>558</v>
      </c>
      <c r="L150">
        <f>HYPERLINK("https://maps.cookcountyil.gov/cookviewer/?search=4114 W 56TH PL", "4114 W 56TH PL")</f>
        <v>0</v>
      </c>
      <c r="N150" t="s">
        <v>602</v>
      </c>
      <c r="P150" t="s">
        <v>737</v>
      </c>
      <c r="Q150" t="s">
        <v>922</v>
      </c>
      <c r="U150">
        <f>HYPERLINK("https://www.cookcountyassessoril.gov/pin/19152120400000", "19-15-212-040-0000")</f>
        <v>0</v>
      </c>
      <c r="V150" t="s">
        <v>970</v>
      </c>
    </row>
    <row r="151" spans="1:22">
      <c r="A151">
        <v>150</v>
      </c>
      <c r="B151" t="s">
        <v>162</v>
      </c>
      <c r="C151" t="s">
        <v>354</v>
      </c>
      <c r="D151" t="s">
        <v>413</v>
      </c>
      <c r="I151">
        <v>8910</v>
      </c>
      <c r="K151" t="s">
        <v>559</v>
      </c>
      <c r="L151">
        <f>HYPERLINK("https://maps.cookcountyil.gov/cookviewer/?search=4204 N GREENVIEW AVE", "4204 N GREENVIEW AVE")</f>
        <v>0</v>
      </c>
      <c r="N151" t="s">
        <v>602</v>
      </c>
      <c r="P151" t="s">
        <v>738</v>
      </c>
      <c r="Q151" t="s">
        <v>923</v>
      </c>
      <c r="U151">
        <f>HYPERLINK("https://www.cookcountyassessoril.gov/pin/14173030270000", "14-17-303-027-0000")</f>
        <v>0</v>
      </c>
      <c r="V151" t="s">
        <v>971</v>
      </c>
    </row>
    <row r="152" spans="1:22">
      <c r="A152">
        <v>151</v>
      </c>
      <c r="B152" t="s">
        <v>163</v>
      </c>
      <c r="C152" t="s">
        <v>355</v>
      </c>
      <c r="D152" t="s">
        <v>406</v>
      </c>
      <c r="I152">
        <v>8900</v>
      </c>
      <c r="K152" t="s">
        <v>560</v>
      </c>
      <c r="L152">
        <f>HYPERLINK("https://maps.cookcountyil.gov/cookviewer/?search=1347 E HYDE PARK BLVD", "1347 E HYDE PARK BLVD")</f>
        <v>0</v>
      </c>
      <c r="N152" t="s">
        <v>602</v>
      </c>
      <c r="P152" t="s">
        <v>739</v>
      </c>
      <c r="Q152" t="s">
        <v>924</v>
      </c>
      <c r="U152">
        <f>HYPERLINK("https://www.cookcountyassessoril.gov/pin/20114020010000", "20-11-402-001-0000")</f>
        <v>0</v>
      </c>
      <c r="V152" t="s">
        <v>970</v>
      </c>
    </row>
    <row r="153" spans="1:22">
      <c r="A153">
        <v>152</v>
      </c>
      <c r="B153" t="s">
        <v>164</v>
      </c>
      <c r="C153" t="s">
        <v>356</v>
      </c>
      <c r="D153" t="s">
        <v>405</v>
      </c>
      <c r="I153">
        <v>450</v>
      </c>
      <c r="K153" t="s">
        <v>561</v>
      </c>
      <c r="L153">
        <f>HYPERLINK("https://maps.cookcountyil.gov/cookviewer/?search=4235 S RICHMOND ST", "4235 S RICHMOND ST")</f>
        <v>0</v>
      </c>
      <c r="N153" t="s">
        <v>602</v>
      </c>
      <c r="P153" t="s">
        <v>740</v>
      </c>
      <c r="Q153" t="s">
        <v>922</v>
      </c>
      <c r="U153">
        <f>HYPERLINK("https://www.cookcountyassessoril.gov/pin/19011300130000", "19-01-130-013-0000")</f>
        <v>0</v>
      </c>
      <c r="V153" t="s">
        <v>970</v>
      </c>
    </row>
    <row r="154" spans="1:22">
      <c r="A154">
        <v>153</v>
      </c>
      <c r="B154" t="s">
        <v>165</v>
      </c>
      <c r="C154" t="s">
        <v>357</v>
      </c>
      <c r="D154" t="s">
        <v>419</v>
      </c>
      <c r="I154">
        <v>24475</v>
      </c>
      <c r="K154" t="s">
        <v>562</v>
      </c>
      <c r="L154">
        <f>HYPERLINK("https://maps.cookcountyil.gov/cookviewer/?search=6521 S CLAREMONT AVE", "6521 S CLAREMONT AVE")</f>
        <v>0</v>
      </c>
      <c r="N154" t="s">
        <v>602</v>
      </c>
      <c r="P154" t="s">
        <v>741</v>
      </c>
      <c r="Q154" t="s">
        <v>925</v>
      </c>
      <c r="U154">
        <f>HYPERLINK("https://www.cookcountyassessoril.gov/pin/20191160080000", "20-19-116-008-0000")</f>
        <v>0</v>
      </c>
      <c r="V154" t="s">
        <v>971</v>
      </c>
    </row>
    <row r="155" spans="1:22">
      <c r="A155">
        <v>154</v>
      </c>
      <c r="B155" t="s">
        <v>165</v>
      </c>
      <c r="C155" t="s">
        <v>358</v>
      </c>
      <c r="D155" t="s">
        <v>406</v>
      </c>
      <c r="I155">
        <v>5000</v>
      </c>
      <c r="K155" t="s">
        <v>562</v>
      </c>
      <c r="L155">
        <f>HYPERLINK("https://maps.cookcountyil.gov/cookviewer/?search=6521 S CLAREMONT AVE", "6521 S CLAREMONT AVE")</f>
        <v>0</v>
      </c>
      <c r="N155" t="s">
        <v>602</v>
      </c>
      <c r="P155" t="s">
        <v>741</v>
      </c>
      <c r="Q155" t="s">
        <v>844</v>
      </c>
      <c r="U155">
        <f>HYPERLINK("https://www.cookcountyassessoril.gov/pin/20191160080000", "20-19-116-008-0000")</f>
        <v>0</v>
      </c>
      <c r="V155" t="s">
        <v>970</v>
      </c>
    </row>
    <row r="156" spans="1:22">
      <c r="A156">
        <v>155</v>
      </c>
      <c r="B156" t="s">
        <v>166</v>
      </c>
      <c r="C156" t="s">
        <v>359</v>
      </c>
      <c r="D156" t="s">
        <v>405</v>
      </c>
      <c r="I156">
        <v>14295</v>
      </c>
      <c r="K156" t="s">
        <v>563</v>
      </c>
      <c r="L156">
        <f>HYPERLINK("https://maps.cookcountyil.gov/cookviewer/?search=1240 W HURON ST", "1240 W HURON ST")</f>
        <v>0</v>
      </c>
      <c r="N156" t="s">
        <v>602</v>
      </c>
      <c r="P156" t="s">
        <v>742</v>
      </c>
      <c r="Q156" t="s">
        <v>926</v>
      </c>
      <c r="U156">
        <f>HYPERLINK("https://www.cookcountyassessoril.gov/pin/17081060410000", "17-08-106-041-0000")</f>
        <v>0</v>
      </c>
      <c r="V156" t="s">
        <v>970</v>
      </c>
    </row>
    <row r="157" spans="1:22">
      <c r="A157">
        <v>156</v>
      </c>
      <c r="B157" t="s">
        <v>167</v>
      </c>
      <c r="C157" t="s">
        <v>360</v>
      </c>
      <c r="D157" t="s">
        <v>419</v>
      </c>
      <c r="I157">
        <v>9595</v>
      </c>
      <c r="K157" t="s">
        <v>564</v>
      </c>
      <c r="L157">
        <f>HYPERLINK("https://maps.cookcountyil.gov/cookviewer/?search=345 N MORGAN ST", "345 N MORGAN ST")</f>
        <v>0</v>
      </c>
      <c r="N157" t="s">
        <v>602</v>
      </c>
      <c r="P157" t="s">
        <v>743</v>
      </c>
      <c r="Q157" t="s">
        <v>927</v>
      </c>
      <c r="U157">
        <f>HYPERLINK("https://www.cookcountyassessoril.gov/pin/17084040080000", "17-08-404-008-0000")</f>
        <v>0</v>
      </c>
      <c r="V157" t="s">
        <v>970</v>
      </c>
    </row>
    <row r="158" spans="1:22">
      <c r="A158">
        <v>157</v>
      </c>
      <c r="B158" t="s">
        <v>168</v>
      </c>
      <c r="C158" t="s">
        <v>361</v>
      </c>
      <c r="D158" t="s">
        <v>406</v>
      </c>
      <c r="I158">
        <v>1000</v>
      </c>
      <c r="K158" t="s">
        <v>565</v>
      </c>
      <c r="L158">
        <f>HYPERLINK("https://maps.cookcountyil.gov/cookviewer/?search=2844 W 25TH PL", "2844 W 25TH PL")</f>
        <v>0</v>
      </c>
      <c r="N158" t="s">
        <v>602</v>
      </c>
      <c r="P158" t="s">
        <v>744</v>
      </c>
      <c r="Q158" t="s">
        <v>928</v>
      </c>
      <c r="U158">
        <f>HYPERLINK("https://www.cookcountyassessoril.gov/pin/16251260260000", "16-25-126-026-0000")</f>
        <v>0</v>
      </c>
      <c r="V158" t="s">
        <v>970</v>
      </c>
    </row>
    <row r="159" spans="1:22">
      <c r="A159">
        <v>158</v>
      </c>
      <c r="B159" t="s">
        <v>169</v>
      </c>
      <c r="C159" t="s">
        <v>362</v>
      </c>
      <c r="D159" t="s">
        <v>405</v>
      </c>
      <c r="I159">
        <v>19022</v>
      </c>
      <c r="K159" t="s">
        <v>566</v>
      </c>
      <c r="L159">
        <f>HYPERLINK("https://maps.cookcountyil.gov/cookviewer/?search=6418 S NORMAL BLVD", "6418 S NORMAL BLVD")</f>
        <v>0</v>
      </c>
      <c r="N159" t="s">
        <v>602</v>
      </c>
      <c r="P159" t="s">
        <v>745</v>
      </c>
      <c r="Q159" t="s">
        <v>929</v>
      </c>
      <c r="U159">
        <f>HYPERLINK("https://www.cookcountyassessoril.gov/pin/20211120250000", "20-21-112-025-0000")</f>
        <v>0</v>
      </c>
      <c r="V159" t="s">
        <v>971</v>
      </c>
    </row>
    <row r="160" spans="1:22">
      <c r="A160">
        <v>159</v>
      </c>
      <c r="B160" t="s">
        <v>169</v>
      </c>
      <c r="C160" t="s">
        <v>363</v>
      </c>
      <c r="D160" t="s">
        <v>405</v>
      </c>
      <c r="I160">
        <v>5000</v>
      </c>
      <c r="K160" t="s">
        <v>566</v>
      </c>
      <c r="L160">
        <f>HYPERLINK("https://maps.cookcountyil.gov/cookviewer/?search=6418 S NORMAL BLVD", "6418 S NORMAL BLVD")</f>
        <v>0</v>
      </c>
      <c r="N160" t="s">
        <v>602</v>
      </c>
      <c r="P160" t="s">
        <v>745</v>
      </c>
      <c r="Q160" t="s">
        <v>930</v>
      </c>
      <c r="U160">
        <f>HYPERLINK("https://www.cookcountyassessoril.gov/pin/20211120250000", "20-21-112-025-0000")</f>
        <v>0</v>
      </c>
      <c r="V160" t="s">
        <v>970</v>
      </c>
    </row>
    <row r="161" spans="1:22">
      <c r="A161">
        <v>160</v>
      </c>
      <c r="B161" t="s">
        <v>170</v>
      </c>
      <c r="C161" t="s">
        <v>364</v>
      </c>
      <c r="D161" t="s">
        <v>419</v>
      </c>
      <c r="I161">
        <v>19000</v>
      </c>
      <c r="K161" t="s">
        <v>567</v>
      </c>
      <c r="L161">
        <f>HYPERLINK("https://maps.cookcountyil.gov/cookviewer/?search=10151 S ABERDEEN ST", "10151 S ABERDEEN ST")</f>
        <v>0</v>
      </c>
      <c r="N161" t="s">
        <v>602</v>
      </c>
      <c r="P161" t="s">
        <v>746</v>
      </c>
      <c r="Q161" t="s">
        <v>931</v>
      </c>
      <c r="U161">
        <f>HYPERLINK("https://www.cookcountyassessoril.gov/pin/25084180190000", "25-08-418-019-0000")</f>
        <v>0</v>
      </c>
      <c r="V161" t="s">
        <v>970</v>
      </c>
    </row>
    <row r="162" spans="1:22">
      <c r="A162">
        <v>161</v>
      </c>
      <c r="B162" t="s">
        <v>171</v>
      </c>
      <c r="C162" t="s">
        <v>365</v>
      </c>
      <c r="D162" t="s">
        <v>416</v>
      </c>
      <c r="I162">
        <v>16150</v>
      </c>
      <c r="K162" t="s">
        <v>568</v>
      </c>
      <c r="L162">
        <f>HYPERLINK("https://maps.cookcountyil.gov/cookviewer/?search=2936 W 86TH ST", "2936 W 86TH ST")</f>
        <v>0</v>
      </c>
      <c r="N162" t="s">
        <v>602</v>
      </c>
      <c r="P162" t="s">
        <v>747</v>
      </c>
      <c r="Q162" t="s">
        <v>932</v>
      </c>
      <c r="U162">
        <f>HYPERLINK("https://www.cookcountyassessoril.gov/pin/19363200160000", "19-36-320-016-0000")</f>
        <v>0</v>
      </c>
      <c r="V162" t="s">
        <v>971</v>
      </c>
    </row>
    <row r="163" spans="1:22">
      <c r="A163">
        <v>162</v>
      </c>
      <c r="B163" t="s">
        <v>87</v>
      </c>
      <c r="C163" t="s">
        <v>366</v>
      </c>
      <c r="D163" t="s">
        <v>413</v>
      </c>
      <c r="I163">
        <v>3116</v>
      </c>
      <c r="K163" t="s">
        <v>484</v>
      </c>
      <c r="L163">
        <f>HYPERLINK("https://maps.cookcountyil.gov/cookviewer/?search=4460 N SPRINGFIELD AVE", "4460 N SPRINGFIELD AVE")</f>
        <v>0</v>
      </c>
      <c r="N163" t="s">
        <v>602</v>
      </c>
      <c r="P163" t="s">
        <v>665</v>
      </c>
      <c r="Q163" t="s">
        <v>933</v>
      </c>
      <c r="U163">
        <f>HYPERLINK("https://www.cookcountyassessoril.gov/pin/13141220160000", "13-14-122-016-0000")</f>
        <v>0</v>
      </c>
      <c r="V163" t="s">
        <v>971</v>
      </c>
    </row>
    <row r="164" spans="1:22">
      <c r="A164">
        <v>163</v>
      </c>
      <c r="B164" t="s">
        <v>87</v>
      </c>
      <c r="C164" t="s">
        <v>367</v>
      </c>
      <c r="D164" t="s">
        <v>413</v>
      </c>
      <c r="I164">
        <v>4674</v>
      </c>
      <c r="K164" t="s">
        <v>484</v>
      </c>
      <c r="L164">
        <f>HYPERLINK("https://maps.cookcountyil.gov/cookviewer/?search=4460 N SPRINGFIELD AVE", "4460 N SPRINGFIELD AVE")</f>
        <v>0</v>
      </c>
      <c r="N164" t="s">
        <v>602</v>
      </c>
      <c r="P164" t="s">
        <v>665</v>
      </c>
      <c r="Q164" t="s">
        <v>934</v>
      </c>
      <c r="U164">
        <f>HYPERLINK("https://www.cookcountyassessoril.gov/pin/13141220160000", "13-14-122-016-0000")</f>
        <v>0</v>
      </c>
      <c r="V164" t="s">
        <v>971</v>
      </c>
    </row>
    <row r="165" spans="1:22">
      <c r="A165">
        <v>164</v>
      </c>
      <c r="B165" t="s">
        <v>172</v>
      </c>
      <c r="C165" t="s">
        <v>368</v>
      </c>
      <c r="D165" t="s">
        <v>413</v>
      </c>
      <c r="I165">
        <v>64565</v>
      </c>
      <c r="K165" t="s">
        <v>569</v>
      </c>
      <c r="L165">
        <f>HYPERLINK("https://maps.cookcountyil.gov/cookviewer/?search=9440 S VINCENNES AVE", "9440 S VINCENNES AVE")</f>
        <v>0</v>
      </c>
      <c r="N165" t="s">
        <v>602</v>
      </c>
      <c r="P165" t="s">
        <v>748</v>
      </c>
      <c r="Q165" t="s">
        <v>935</v>
      </c>
      <c r="U165">
        <f>HYPERLINK("https://www.cookcountyassessoril.gov/pin/25054210280000", "25-05-421-028-0000"), =HYPERLINK("https://www.cookcountyassessoril.gov/pin/25054210350000", "25-05-421-035-0000"), =HYPERLINK("https://www.cookcountyassessoril.gov/pin/25054210340000", "25-05-421-034-0000")</f>
        <v>0</v>
      </c>
      <c r="V165" t="s">
        <v>971</v>
      </c>
    </row>
    <row r="166" spans="1:22">
      <c r="A166">
        <v>165</v>
      </c>
      <c r="B166" t="s">
        <v>173</v>
      </c>
      <c r="C166" t="s">
        <v>369</v>
      </c>
      <c r="D166" t="s">
        <v>414</v>
      </c>
      <c r="I166">
        <v>17699</v>
      </c>
      <c r="K166" t="s">
        <v>570</v>
      </c>
      <c r="L166">
        <f>HYPERLINK("https://maps.cookcountyil.gov/cookviewer/?search=425 W ALDINE AVE", "425 W ALDINE AVE")</f>
        <v>0</v>
      </c>
      <c r="N166" t="s">
        <v>602</v>
      </c>
      <c r="P166" t="s">
        <v>749</v>
      </c>
      <c r="Q166" t="s">
        <v>936</v>
      </c>
      <c r="U166" t="s">
        <v>969</v>
      </c>
      <c r="V166" t="s">
        <v>970</v>
      </c>
    </row>
    <row r="167" spans="1:22">
      <c r="A167">
        <v>166</v>
      </c>
      <c r="B167" t="s">
        <v>174</v>
      </c>
      <c r="C167" t="s">
        <v>370</v>
      </c>
      <c r="D167" t="s">
        <v>414</v>
      </c>
      <c r="I167">
        <v>5000</v>
      </c>
      <c r="K167" t="s">
        <v>571</v>
      </c>
      <c r="L167">
        <f>HYPERLINK("https://maps.cookcountyil.gov/cookviewer/?search=2947 N MENARD AVE", "2947 N MENARD AVE")</f>
        <v>0</v>
      </c>
      <c r="N167" t="s">
        <v>602</v>
      </c>
      <c r="P167" t="s">
        <v>750</v>
      </c>
      <c r="Q167" t="s">
        <v>937</v>
      </c>
      <c r="U167">
        <f>HYPERLINK("https://www.cookcountyassessoril.gov/pin/13292200050000", "13-29-220-005-0000")</f>
        <v>0</v>
      </c>
      <c r="V167" t="s">
        <v>971</v>
      </c>
    </row>
    <row r="168" spans="1:22">
      <c r="A168">
        <v>167</v>
      </c>
      <c r="B168" t="s">
        <v>175</v>
      </c>
      <c r="C168" t="s">
        <v>371</v>
      </c>
      <c r="D168" t="s">
        <v>406</v>
      </c>
      <c r="I168">
        <v>5686</v>
      </c>
      <c r="K168" t="s">
        <v>572</v>
      </c>
      <c r="L168">
        <f>HYPERLINK("https://maps.cookcountyil.gov/cookviewer/?search=5455 N SHERIDAN RD", "5455 N SHERIDAN RD")</f>
        <v>0</v>
      </c>
      <c r="N168" t="s">
        <v>602</v>
      </c>
      <c r="P168" t="s">
        <v>751</v>
      </c>
      <c r="Q168" t="s">
        <v>938</v>
      </c>
      <c r="U168" t="s">
        <v>969</v>
      </c>
      <c r="V168" t="s">
        <v>970</v>
      </c>
    </row>
    <row r="169" spans="1:22">
      <c r="A169">
        <v>168</v>
      </c>
      <c r="B169" t="s">
        <v>176</v>
      </c>
      <c r="C169" t="s">
        <v>372</v>
      </c>
      <c r="D169" t="s">
        <v>417</v>
      </c>
      <c r="I169">
        <v>60000</v>
      </c>
      <c r="K169" t="s">
        <v>573</v>
      </c>
      <c r="L169">
        <f>HYPERLINK("https://maps.cookcountyil.gov/cookviewer/?search=4549 N CENTRAL AVE", "4549 N CENTRAL AVE")</f>
        <v>0</v>
      </c>
      <c r="N169" t="s">
        <v>602</v>
      </c>
      <c r="P169" t="s">
        <v>752</v>
      </c>
      <c r="Q169" t="s">
        <v>939</v>
      </c>
      <c r="U169" t="s">
        <v>969</v>
      </c>
      <c r="V169" t="s">
        <v>971</v>
      </c>
    </row>
    <row r="170" spans="1:22">
      <c r="A170">
        <v>169</v>
      </c>
      <c r="B170" t="s">
        <v>177</v>
      </c>
      <c r="C170" t="s">
        <v>373</v>
      </c>
      <c r="D170" t="s">
        <v>417</v>
      </c>
      <c r="I170">
        <v>2500</v>
      </c>
      <c r="K170" t="s">
        <v>574</v>
      </c>
      <c r="L170">
        <f>HYPERLINK("https://maps.cookcountyil.gov/cookviewer/?search=2927 N ELSTON AVE", "2927 N ELSTON AVE")</f>
        <v>0</v>
      </c>
      <c r="N170" t="s">
        <v>602</v>
      </c>
      <c r="P170" t="s">
        <v>753</v>
      </c>
      <c r="Q170" t="s">
        <v>940</v>
      </c>
      <c r="U170">
        <f>HYPERLINK("https://www.cookcountyassessoril.gov/pin/13252190510000", "13-25-219-051-0000")</f>
        <v>0</v>
      </c>
      <c r="V170" t="s">
        <v>970</v>
      </c>
    </row>
    <row r="171" spans="1:22">
      <c r="A171">
        <v>170</v>
      </c>
      <c r="B171" t="s">
        <v>178</v>
      </c>
      <c r="C171" t="s">
        <v>374</v>
      </c>
      <c r="D171" t="s">
        <v>419</v>
      </c>
      <c r="I171">
        <v>26000</v>
      </c>
      <c r="K171" t="s">
        <v>575</v>
      </c>
      <c r="L171">
        <f>HYPERLINK("https://maps.cookcountyil.gov/cookviewer/?search=5742 S WOLCOTT AVE", "5742 S WOLCOTT AVE")</f>
        <v>0</v>
      </c>
      <c r="N171" t="s">
        <v>602</v>
      </c>
      <c r="P171" t="s">
        <v>754</v>
      </c>
      <c r="Q171" t="s">
        <v>941</v>
      </c>
      <c r="U171">
        <f>HYPERLINK("https://www.cookcountyassessoril.gov/pin/20182170350000", "20-18-217-035-0000")</f>
        <v>0</v>
      </c>
      <c r="V171" t="s">
        <v>971</v>
      </c>
    </row>
    <row r="172" spans="1:22">
      <c r="A172">
        <v>171</v>
      </c>
      <c r="B172" t="s">
        <v>179</v>
      </c>
      <c r="C172" t="s">
        <v>375</v>
      </c>
      <c r="D172" t="s">
        <v>419</v>
      </c>
      <c r="I172">
        <v>250</v>
      </c>
      <c r="K172" t="s">
        <v>576</v>
      </c>
      <c r="L172">
        <f>HYPERLINK("https://maps.cookcountyil.gov/cookviewer/?search=424 N LAWLER AVE", "424 N LAWLER AVE")</f>
        <v>0</v>
      </c>
      <c r="N172" t="s">
        <v>602</v>
      </c>
      <c r="P172" t="s">
        <v>755</v>
      </c>
      <c r="Q172" t="s">
        <v>942</v>
      </c>
      <c r="U172">
        <f>HYPERLINK("https://www.cookcountyassessoril.gov/pin/16092260260000", "16-09-226-026-0000")</f>
        <v>0</v>
      </c>
      <c r="V172" t="s">
        <v>970</v>
      </c>
    </row>
    <row r="173" spans="1:22">
      <c r="A173">
        <v>172</v>
      </c>
      <c r="B173" t="s">
        <v>180</v>
      </c>
      <c r="C173" t="s">
        <v>376</v>
      </c>
      <c r="D173" t="s">
        <v>413</v>
      </c>
      <c r="I173">
        <v>24773</v>
      </c>
      <c r="K173" t="s">
        <v>577</v>
      </c>
      <c r="L173">
        <f>HYPERLINK("https://maps.cookcountyil.gov/cookviewer/?search=2118 W BERWYN AVE", "2118 W BERWYN AVE")</f>
        <v>0</v>
      </c>
      <c r="N173" t="s">
        <v>602</v>
      </c>
      <c r="P173" t="s">
        <v>756</v>
      </c>
      <c r="Q173" t="s">
        <v>943</v>
      </c>
      <c r="U173">
        <f>HYPERLINK("https://www.cookcountyassessoril.gov/pin/14071100340000", "14-07-110-034-0000")</f>
        <v>0</v>
      </c>
      <c r="V173" t="s">
        <v>971</v>
      </c>
    </row>
    <row r="174" spans="1:22">
      <c r="A174">
        <v>173</v>
      </c>
      <c r="B174" t="s">
        <v>180</v>
      </c>
      <c r="C174" t="s">
        <v>377</v>
      </c>
      <c r="D174" t="s">
        <v>413</v>
      </c>
      <c r="I174">
        <v>1000</v>
      </c>
      <c r="K174" t="s">
        <v>577</v>
      </c>
      <c r="L174">
        <f>HYPERLINK("https://maps.cookcountyil.gov/cookviewer/?search=2118 W BERWYN AVE", "2118 W BERWYN AVE")</f>
        <v>0</v>
      </c>
      <c r="N174" t="s">
        <v>602</v>
      </c>
      <c r="P174" t="s">
        <v>756</v>
      </c>
      <c r="Q174" t="s">
        <v>944</v>
      </c>
      <c r="U174">
        <f>HYPERLINK("https://www.cookcountyassessoril.gov/pin/14071100340000", "14-07-110-034-0000")</f>
        <v>0</v>
      </c>
      <c r="V174" t="s">
        <v>971</v>
      </c>
    </row>
    <row r="175" spans="1:22">
      <c r="A175">
        <v>174</v>
      </c>
      <c r="B175" t="s">
        <v>181</v>
      </c>
      <c r="C175" t="s">
        <v>378</v>
      </c>
      <c r="D175" t="s">
        <v>419</v>
      </c>
      <c r="I175">
        <v>16850</v>
      </c>
      <c r="K175" t="s">
        <v>578</v>
      </c>
      <c r="L175">
        <f>HYPERLINK("https://maps.cookcountyil.gov/cookviewer/?search=10450 S AVENUE L", "10450 S AVENUE L")</f>
        <v>0</v>
      </c>
      <c r="N175" t="s">
        <v>602</v>
      </c>
      <c r="P175" t="s">
        <v>757</v>
      </c>
      <c r="Q175" t="s">
        <v>874</v>
      </c>
      <c r="U175">
        <f>HYPERLINK("https://www.cookcountyassessoril.gov/pin/26083200410000", "26-08-320-041-0000")</f>
        <v>0</v>
      </c>
      <c r="V175" t="s">
        <v>971</v>
      </c>
    </row>
    <row r="176" spans="1:22">
      <c r="A176">
        <v>175</v>
      </c>
      <c r="B176" t="s">
        <v>182</v>
      </c>
      <c r="C176" t="s">
        <v>379</v>
      </c>
      <c r="D176" t="s">
        <v>414</v>
      </c>
      <c r="I176">
        <v>31962</v>
      </c>
      <c r="K176" t="s">
        <v>579</v>
      </c>
      <c r="L176">
        <f>HYPERLINK("https://maps.cookcountyil.gov/cookviewer/?search=9115 S MAY ST", "9115 S MAY ST")</f>
        <v>0</v>
      </c>
      <c r="N176" t="s">
        <v>602</v>
      </c>
      <c r="P176" t="s">
        <v>758</v>
      </c>
      <c r="Q176" t="s">
        <v>945</v>
      </c>
      <c r="U176">
        <f>HYPERLINK("https://www.cookcountyassessoril.gov/pin/25054010320000", "25-05-401-032-0000")</f>
        <v>0</v>
      </c>
      <c r="V176" t="s">
        <v>971</v>
      </c>
    </row>
    <row r="177" spans="1:22">
      <c r="A177">
        <v>176</v>
      </c>
      <c r="B177" t="s">
        <v>183</v>
      </c>
      <c r="C177" t="s">
        <v>380</v>
      </c>
      <c r="D177" t="s">
        <v>413</v>
      </c>
      <c r="I177">
        <v>24350</v>
      </c>
      <c r="K177" t="s">
        <v>580</v>
      </c>
      <c r="L177">
        <f>HYPERLINK("https://maps.cookcountyil.gov/cookviewer/?search=11118 S AVENUE C", "11118 S AVENUE C")</f>
        <v>0</v>
      </c>
      <c r="N177" t="s">
        <v>602</v>
      </c>
      <c r="P177" t="s">
        <v>759</v>
      </c>
      <c r="Q177" t="s">
        <v>946</v>
      </c>
      <c r="U177">
        <f>HYPERLINK("https://www.cookcountyassessoril.gov/pin/26174060200000", "26-17-406-020-0000")</f>
        <v>0</v>
      </c>
      <c r="V177" t="s">
        <v>971</v>
      </c>
    </row>
    <row r="178" spans="1:22">
      <c r="A178">
        <v>177</v>
      </c>
      <c r="B178" t="s">
        <v>184</v>
      </c>
      <c r="C178" t="s">
        <v>381</v>
      </c>
      <c r="D178" t="s">
        <v>419</v>
      </c>
      <c r="I178">
        <v>14100</v>
      </c>
      <c r="K178" t="s">
        <v>581</v>
      </c>
      <c r="L178">
        <f>HYPERLINK("https://maps.cookcountyil.gov/cookviewer/?search=912 S CARPENTER ST", "912 S CARPENTER ST")</f>
        <v>0</v>
      </c>
      <c r="N178" t="s">
        <v>602</v>
      </c>
      <c r="P178" t="s">
        <v>760</v>
      </c>
      <c r="Q178" t="s">
        <v>947</v>
      </c>
      <c r="U178">
        <f>HYPERLINK("https://www.cookcountyassessoril.gov/pin/17174190150000", "17-17-419-015-0000")</f>
        <v>0</v>
      </c>
      <c r="V178" t="s">
        <v>970</v>
      </c>
    </row>
    <row r="179" spans="1:22">
      <c r="A179">
        <v>178</v>
      </c>
      <c r="B179" t="s">
        <v>185</v>
      </c>
      <c r="C179" t="s">
        <v>382</v>
      </c>
      <c r="D179" t="s">
        <v>414</v>
      </c>
      <c r="I179">
        <v>20000</v>
      </c>
      <c r="K179" t="s">
        <v>582</v>
      </c>
      <c r="L179">
        <f>HYPERLINK("https://maps.cookcountyil.gov/cookviewer/?search=4623 N MELVINA AVE", "4623 N MELVINA AVE")</f>
        <v>0</v>
      </c>
      <c r="N179" t="s">
        <v>602</v>
      </c>
      <c r="P179" t="s">
        <v>761</v>
      </c>
      <c r="Q179" t="s">
        <v>948</v>
      </c>
      <c r="U179">
        <f>HYPERLINK("https://www.cookcountyassessoril.gov/pin/13171070900000", "13-17-107-090-0000")</f>
        <v>0</v>
      </c>
      <c r="V179" t="s">
        <v>971</v>
      </c>
    </row>
    <row r="180" spans="1:22">
      <c r="A180">
        <v>179</v>
      </c>
      <c r="B180" t="s">
        <v>186</v>
      </c>
      <c r="C180" t="s">
        <v>383</v>
      </c>
      <c r="D180" t="s">
        <v>419</v>
      </c>
      <c r="I180">
        <v>750</v>
      </c>
      <c r="K180" t="s">
        <v>583</v>
      </c>
      <c r="L180">
        <f>HYPERLINK("https://maps.cookcountyil.gov/cookviewer/?search=1422 E 67TH PL", "1422 E 67TH PL")</f>
        <v>0</v>
      </c>
      <c r="N180" t="s">
        <v>602</v>
      </c>
      <c r="P180" t="s">
        <v>762</v>
      </c>
      <c r="Q180" t="s">
        <v>949</v>
      </c>
      <c r="U180" t="s">
        <v>969</v>
      </c>
      <c r="V180" t="s">
        <v>970</v>
      </c>
    </row>
    <row r="181" spans="1:22">
      <c r="A181">
        <v>180</v>
      </c>
      <c r="B181" t="s">
        <v>88</v>
      </c>
      <c r="C181" t="s">
        <v>384</v>
      </c>
      <c r="D181" t="s">
        <v>405</v>
      </c>
      <c r="I181">
        <v>13243</v>
      </c>
      <c r="K181" t="s">
        <v>485</v>
      </c>
      <c r="L181">
        <f>HYPERLINK("https://maps.cookcountyil.gov/cookviewer/?search=5632 S TRUMBULL AVE", "5632 S TRUMBULL AVE")</f>
        <v>0</v>
      </c>
      <c r="N181" t="s">
        <v>602</v>
      </c>
      <c r="P181" t="s">
        <v>666</v>
      </c>
      <c r="Q181" t="s">
        <v>950</v>
      </c>
      <c r="U181">
        <f>HYPERLINK("https://www.cookcountyassessoril.gov/pin/19142070330000", "19-14-207-033-0000")</f>
        <v>0</v>
      </c>
      <c r="V181" t="s">
        <v>971</v>
      </c>
    </row>
    <row r="182" spans="1:22">
      <c r="A182">
        <v>181</v>
      </c>
      <c r="B182" t="s">
        <v>187</v>
      </c>
      <c r="C182" t="s">
        <v>385</v>
      </c>
      <c r="D182" t="s">
        <v>419</v>
      </c>
      <c r="I182">
        <v>10400</v>
      </c>
      <c r="K182" t="s">
        <v>584</v>
      </c>
      <c r="L182">
        <f>HYPERLINK("https://maps.cookcountyil.gov/cookviewer/?search=10504 S THROOP ST", "10504 S THROOP ST")</f>
        <v>0</v>
      </c>
      <c r="N182" t="s">
        <v>602</v>
      </c>
      <c r="P182" t="s">
        <v>763</v>
      </c>
      <c r="Q182" t="s">
        <v>951</v>
      </c>
      <c r="U182" t="s">
        <v>969</v>
      </c>
      <c r="V182" t="s">
        <v>970</v>
      </c>
    </row>
    <row r="183" spans="1:22">
      <c r="A183">
        <v>182</v>
      </c>
      <c r="B183" t="s">
        <v>188</v>
      </c>
      <c r="C183" t="s">
        <v>386</v>
      </c>
      <c r="D183" t="s">
        <v>413</v>
      </c>
      <c r="I183">
        <v>9300</v>
      </c>
      <c r="K183" t="s">
        <v>585</v>
      </c>
      <c r="L183">
        <f>HYPERLINK("https://maps.cookcountyil.gov/cookviewer/?search=807 W 14TH PL", "807 W 14TH PL")</f>
        <v>0</v>
      </c>
      <c r="N183" t="s">
        <v>602</v>
      </c>
      <c r="P183" t="s">
        <v>764</v>
      </c>
      <c r="Q183" t="s">
        <v>952</v>
      </c>
      <c r="U183" t="s">
        <v>969</v>
      </c>
      <c r="V183" t="s">
        <v>971</v>
      </c>
    </row>
    <row r="184" spans="1:22">
      <c r="A184">
        <v>183</v>
      </c>
      <c r="B184" t="s">
        <v>189</v>
      </c>
      <c r="C184" t="s">
        <v>387</v>
      </c>
      <c r="D184" t="s">
        <v>413</v>
      </c>
      <c r="I184">
        <v>11500</v>
      </c>
      <c r="K184" t="s">
        <v>586</v>
      </c>
      <c r="L184">
        <f>HYPERLINK("https://maps.cookcountyil.gov/cookviewer/?search=4542 N CENTRAL PARK AVE", "4542 N CENTRAL PARK AVE")</f>
        <v>0</v>
      </c>
      <c r="N184" t="s">
        <v>602</v>
      </c>
      <c r="P184" t="s">
        <v>765</v>
      </c>
      <c r="Q184" t="s">
        <v>953</v>
      </c>
      <c r="U184">
        <f>HYPERLINK("https://www.cookcountyassessoril.gov/pin/13141200170000", "13-14-120-017-0000")</f>
        <v>0</v>
      </c>
      <c r="V184" t="s">
        <v>970</v>
      </c>
    </row>
    <row r="185" spans="1:22">
      <c r="A185">
        <v>184</v>
      </c>
      <c r="B185" t="s">
        <v>190</v>
      </c>
      <c r="C185" t="s">
        <v>388</v>
      </c>
      <c r="D185" t="s">
        <v>419</v>
      </c>
      <c r="I185">
        <v>7290</v>
      </c>
      <c r="K185" t="s">
        <v>587</v>
      </c>
      <c r="L185">
        <f>HYPERLINK("https://maps.cookcountyil.gov/cookviewer/?search=3501 W 77TH PL", "3501 W 77TH PL")</f>
        <v>0</v>
      </c>
      <c r="N185" t="s">
        <v>602</v>
      </c>
      <c r="P185" t="s">
        <v>766</v>
      </c>
      <c r="Q185" t="s">
        <v>954</v>
      </c>
      <c r="U185">
        <f>HYPERLINK("https://www.cookcountyassessoril.gov/pin/19264070230000", "19-26-407-023-0000")</f>
        <v>0</v>
      </c>
      <c r="V185" t="s">
        <v>970</v>
      </c>
    </row>
    <row r="186" spans="1:22">
      <c r="A186">
        <v>185</v>
      </c>
      <c r="B186" t="s">
        <v>191</v>
      </c>
      <c r="C186" t="s">
        <v>389</v>
      </c>
      <c r="D186" t="s">
        <v>416</v>
      </c>
      <c r="I186">
        <v>38000</v>
      </c>
      <c r="K186" t="s">
        <v>588</v>
      </c>
      <c r="L186">
        <f>HYPERLINK("https://maps.cookcountyil.gov/cookviewer/?search=1813 N LAWNDALE AVE", "1813 N LAWNDALE AVE")</f>
        <v>0</v>
      </c>
      <c r="N186" t="s">
        <v>602</v>
      </c>
      <c r="P186" t="s">
        <v>767</v>
      </c>
      <c r="Q186" t="s">
        <v>955</v>
      </c>
      <c r="U186">
        <f>HYPERLINK("https://www.cookcountyassessoril.gov/pin/13353130210000", "13-35-313-021-0000")</f>
        <v>0</v>
      </c>
      <c r="V186" t="s">
        <v>970</v>
      </c>
    </row>
    <row r="187" spans="1:22">
      <c r="A187">
        <v>186</v>
      </c>
      <c r="B187" t="s">
        <v>192</v>
      </c>
      <c r="C187" t="s">
        <v>390</v>
      </c>
      <c r="D187" t="s">
        <v>419</v>
      </c>
      <c r="I187">
        <v>3750</v>
      </c>
      <c r="K187" t="s">
        <v>589</v>
      </c>
      <c r="L187">
        <f>HYPERLINK("https://maps.cookcountyil.gov/cookviewer/?search=5135 W BYRON ST", "5135 W BYRON ST")</f>
        <v>0</v>
      </c>
      <c r="N187" t="s">
        <v>602</v>
      </c>
      <c r="P187" t="s">
        <v>651</v>
      </c>
      <c r="Q187" t="s">
        <v>795</v>
      </c>
      <c r="U187">
        <f>HYPERLINK("https://www.cookcountyassessoril.gov/pin/13212080090000", "13-21-208-009-0000")</f>
        <v>0</v>
      </c>
      <c r="V187" t="s">
        <v>970</v>
      </c>
    </row>
    <row r="188" spans="1:22">
      <c r="A188">
        <v>187</v>
      </c>
      <c r="B188" t="s">
        <v>193</v>
      </c>
      <c r="C188" t="s">
        <v>391</v>
      </c>
      <c r="D188" t="s">
        <v>416</v>
      </c>
      <c r="I188">
        <v>20000</v>
      </c>
      <c r="K188" t="s">
        <v>590</v>
      </c>
      <c r="L188">
        <f>HYPERLINK("https://maps.cookcountyil.gov/cookviewer/?search=2754 W BERWYN AVE", "2754 W BERWYN AVE")</f>
        <v>0</v>
      </c>
      <c r="N188" t="s">
        <v>602</v>
      </c>
      <c r="P188" t="s">
        <v>768</v>
      </c>
      <c r="Q188" t="s">
        <v>955</v>
      </c>
      <c r="U188">
        <f>HYPERLINK("https://www.cookcountyassessoril.gov/pin/13122220621004", "13-12-222-062-1004"), =HYPERLINK("https://www.cookcountyassessoril.gov/pin/13122220621003", "13-12-222-062-1003")</f>
        <v>0</v>
      </c>
      <c r="V188" t="s">
        <v>970</v>
      </c>
    </row>
    <row r="189" spans="1:22">
      <c r="A189">
        <v>188</v>
      </c>
      <c r="B189" t="s">
        <v>194</v>
      </c>
      <c r="C189" t="s">
        <v>392</v>
      </c>
      <c r="D189" t="s">
        <v>419</v>
      </c>
      <c r="I189">
        <v>2000</v>
      </c>
      <c r="K189" t="s">
        <v>591</v>
      </c>
      <c r="L189">
        <f>HYPERLINK("https://maps.cookcountyil.gov/cookviewer/?search=6168 N RAVENSWOOD AVE", "6168 N RAVENSWOOD AVE")</f>
        <v>0</v>
      </c>
      <c r="N189" t="s">
        <v>602</v>
      </c>
      <c r="P189" t="s">
        <v>769</v>
      </c>
      <c r="Q189" t="s">
        <v>956</v>
      </c>
      <c r="U189" t="s">
        <v>969</v>
      </c>
      <c r="V189" t="s">
        <v>971</v>
      </c>
    </row>
    <row r="190" spans="1:22">
      <c r="A190">
        <v>189</v>
      </c>
      <c r="B190" t="s">
        <v>195</v>
      </c>
      <c r="C190" t="s">
        <v>393</v>
      </c>
      <c r="D190" t="s">
        <v>419</v>
      </c>
      <c r="I190">
        <v>6220</v>
      </c>
      <c r="K190" t="s">
        <v>592</v>
      </c>
      <c r="L190">
        <f>HYPERLINK("https://maps.cookcountyil.gov/cookviewer/?search=10110 S RHODES AVE", "10110 S RHODES AVE")</f>
        <v>0</v>
      </c>
      <c r="N190" t="s">
        <v>602</v>
      </c>
      <c r="P190" t="s">
        <v>770</v>
      </c>
      <c r="Q190" t="s">
        <v>957</v>
      </c>
      <c r="U190">
        <f>HYPERLINK("https://www.cookcountyassessoril.gov/pin/25104090230000", "25-10-409-023-0000")</f>
        <v>0</v>
      </c>
      <c r="V190" t="s">
        <v>970</v>
      </c>
    </row>
    <row r="191" spans="1:22">
      <c r="A191">
        <v>190</v>
      </c>
      <c r="B191" t="s">
        <v>196</v>
      </c>
      <c r="C191" t="s">
        <v>394</v>
      </c>
      <c r="D191" t="s">
        <v>416</v>
      </c>
      <c r="I191">
        <v>3700</v>
      </c>
      <c r="K191" t="s">
        <v>593</v>
      </c>
      <c r="L191">
        <f>HYPERLINK("https://maps.cookcountyil.gov/cookviewer/?search=5531 W HUTCHINSON ST", "5531 W HUTCHINSON ST")</f>
        <v>0</v>
      </c>
      <c r="N191" t="s">
        <v>602</v>
      </c>
      <c r="P191" t="s">
        <v>771</v>
      </c>
      <c r="Q191" t="s">
        <v>958</v>
      </c>
      <c r="U191">
        <f>HYPERLINK("https://www.cookcountyassessoril.gov/pin/13163120140000", "13-16-312-014-0000")</f>
        <v>0</v>
      </c>
      <c r="V191" t="s">
        <v>970</v>
      </c>
    </row>
    <row r="192" spans="1:22">
      <c r="A192">
        <v>191</v>
      </c>
      <c r="B192" t="s">
        <v>96</v>
      </c>
      <c r="C192" t="s">
        <v>395</v>
      </c>
      <c r="D192" t="s">
        <v>413</v>
      </c>
      <c r="I192">
        <v>24928</v>
      </c>
      <c r="K192" t="s">
        <v>493</v>
      </c>
      <c r="L192">
        <f>HYPERLINK("https://maps.cookcountyil.gov/cookviewer/?search=1132 N LEAMINGTON AVE", "1132 N LEAMINGTON AVE")</f>
        <v>0</v>
      </c>
      <c r="N192" t="s">
        <v>602</v>
      </c>
      <c r="P192" t="s">
        <v>674</v>
      </c>
      <c r="Q192" t="s">
        <v>959</v>
      </c>
      <c r="U192">
        <f>HYPERLINK("https://www.cookcountyassessoril.gov/pin/16044000300000", "16-04-400-030-0000")</f>
        <v>0</v>
      </c>
      <c r="V192" t="s">
        <v>971</v>
      </c>
    </row>
    <row r="193" spans="1:22">
      <c r="A193">
        <v>192</v>
      </c>
      <c r="B193" t="s">
        <v>197</v>
      </c>
      <c r="C193" t="s">
        <v>396</v>
      </c>
      <c r="D193" t="s">
        <v>414</v>
      </c>
      <c r="I193">
        <v>162000</v>
      </c>
      <c r="K193" t="s">
        <v>594</v>
      </c>
      <c r="L193">
        <f>HYPERLINK("https://maps.cookcountyil.gov/cookviewer/?search=1 N WACKER DR", "1 N WACKER DR")</f>
        <v>0</v>
      </c>
      <c r="N193" t="s">
        <v>602</v>
      </c>
      <c r="P193" t="s">
        <v>772</v>
      </c>
      <c r="Q193" t="s">
        <v>960</v>
      </c>
      <c r="U193">
        <f>HYPERLINK("https://www.cookcountyassessoril.gov/pin/17094540030000", "17-09-454-003-0000"), =HYPERLINK("https://www.cookcountyassessoril.gov/pin/17094540010000", "17-09-454-001-0000"), =HYPERLINK("https://www.cookcountyassessoril.gov/pin/17094540020000", "17-09-454-002-0000"), =HYPERLINK("https://www.cookcountyassessoril.gov/pin/17094540040000", "17-09-454-004-0000")</f>
        <v>0</v>
      </c>
      <c r="V193" t="s">
        <v>970</v>
      </c>
    </row>
    <row r="194" spans="1:22">
      <c r="A194">
        <v>193</v>
      </c>
      <c r="B194" t="s">
        <v>198</v>
      </c>
      <c r="C194" t="s">
        <v>397</v>
      </c>
      <c r="D194" t="s">
        <v>414</v>
      </c>
      <c r="I194">
        <v>1500</v>
      </c>
      <c r="K194" t="s">
        <v>595</v>
      </c>
      <c r="L194">
        <f>HYPERLINK("https://maps.cookcountyil.gov/cookviewer/?search=1539 W PEARSON ST", "1539 W PEARSON ST")</f>
        <v>0</v>
      </c>
      <c r="N194" t="s">
        <v>602</v>
      </c>
      <c r="P194" t="s">
        <v>773</v>
      </c>
      <c r="Q194" t="s">
        <v>961</v>
      </c>
      <c r="U194" t="s">
        <v>969</v>
      </c>
      <c r="V194" t="s">
        <v>970</v>
      </c>
    </row>
    <row r="195" spans="1:22">
      <c r="A195">
        <v>194</v>
      </c>
      <c r="B195" t="s">
        <v>99</v>
      </c>
      <c r="C195" t="s">
        <v>398</v>
      </c>
      <c r="D195" t="s">
        <v>419</v>
      </c>
      <c r="I195">
        <v>1000</v>
      </c>
      <c r="K195" t="s">
        <v>496</v>
      </c>
      <c r="L195">
        <f>HYPERLINK("https://maps.cookcountyil.gov/cookviewer/?search=6439 N TALMAN AVE", "6439 N TALMAN AVE")</f>
        <v>0</v>
      </c>
      <c r="N195" t="s">
        <v>602</v>
      </c>
      <c r="P195" t="s">
        <v>677</v>
      </c>
      <c r="Q195" t="s">
        <v>962</v>
      </c>
      <c r="U195">
        <f>HYPERLINK("https://www.cookcountyassessoril.gov/pin/10364270060000", "10-36-427-006-0000")</f>
        <v>0</v>
      </c>
      <c r="V195" t="s">
        <v>970</v>
      </c>
    </row>
    <row r="196" spans="1:22">
      <c r="A196">
        <v>195</v>
      </c>
      <c r="B196" t="s">
        <v>199</v>
      </c>
      <c r="C196" t="s">
        <v>399</v>
      </c>
      <c r="D196" t="s">
        <v>419</v>
      </c>
      <c r="I196">
        <v>20000</v>
      </c>
      <c r="K196" t="s">
        <v>596</v>
      </c>
      <c r="L196">
        <f>HYPERLINK("https://maps.cookcountyil.gov/cookviewer/?search=1836 W FARWELL AVE", "1836 W FARWELL AVE")</f>
        <v>0</v>
      </c>
      <c r="N196" t="s">
        <v>602</v>
      </c>
      <c r="P196" t="s">
        <v>774</v>
      </c>
      <c r="Q196" t="s">
        <v>963</v>
      </c>
      <c r="U196">
        <f>HYPERLINK("https://www.cookcountyassessoril.gov/pin/11312200160000", "11-31-220-016-0000")</f>
        <v>0</v>
      </c>
      <c r="V196" t="s">
        <v>970</v>
      </c>
    </row>
    <row r="197" spans="1:22">
      <c r="A197">
        <v>196</v>
      </c>
      <c r="B197" t="s">
        <v>200</v>
      </c>
      <c r="C197" t="s">
        <v>400</v>
      </c>
      <c r="D197" t="s">
        <v>405</v>
      </c>
      <c r="I197">
        <v>6655</v>
      </c>
      <c r="K197" t="s">
        <v>597</v>
      </c>
      <c r="L197">
        <f>HYPERLINK("https://maps.cookcountyil.gov/cookviewer/?search=3531 N HOYNE AVE", "3531 N HOYNE AVE")</f>
        <v>0</v>
      </c>
      <c r="N197" t="s">
        <v>602</v>
      </c>
      <c r="P197" t="s">
        <v>775</v>
      </c>
      <c r="Q197" t="s">
        <v>964</v>
      </c>
      <c r="U197">
        <f>HYPERLINK("https://www.cookcountyassessoril.gov/pin/14193060160000", "14-19-306-016-0000")</f>
        <v>0</v>
      </c>
      <c r="V197" t="s">
        <v>970</v>
      </c>
    </row>
    <row r="198" spans="1:22">
      <c r="A198">
        <v>197</v>
      </c>
      <c r="B198" t="s">
        <v>201</v>
      </c>
      <c r="C198" t="s">
        <v>401</v>
      </c>
      <c r="D198" t="s">
        <v>417</v>
      </c>
      <c r="I198">
        <v>141190</v>
      </c>
      <c r="K198" t="s">
        <v>598</v>
      </c>
      <c r="L198">
        <f>HYPERLINK("https://maps.cookcountyil.gov/cookviewer/?search=12 E SCOTT ST", "12 E SCOTT ST")</f>
        <v>0</v>
      </c>
      <c r="N198" t="s">
        <v>602</v>
      </c>
      <c r="P198" t="s">
        <v>776</v>
      </c>
      <c r="Q198" t="s">
        <v>965</v>
      </c>
      <c r="U198">
        <f>HYPERLINK("https://www.cookcountyassessoril.gov/pin/17031090120000", "17-03-109-012-0000")</f>
        <v>0</v>
      </c>
      <c r="V198" t="s">
        <v>970</v>
      </c>
    </row>
    <row r="199" spans="1:22">
      <c r="A199">
        <v>198</v>
      </c>
      <c r="B199" t="s">
        <v>202</v>
      </c>
      <c r="C199" t="s">
        <v>402</v>
      </c>
      <c r="D199" t="s">
        <v>413</v>
      </c>
      <c r="I199">
        <v>7500</v>
      </c>
      <c r="K199" t="s">
        <v>599</v>
      </c>
      <c r="L199">
        <f>HYPERLINK("https://maps.cookcountyil.gov/cookviewer/?search=4343 W OHIO ST", "4343 W OHIO ST")</f>
        <v>0</v>
      </c>
      <c r="N199" t="s">
        <v>602</v>
      </c>
      <c r="P199" t="s">
        <v>777</v>
      </c>
      <c r="Q199" t="s">
        <v>966</v>
      </c>
      <c r="U199">
        <f>HYPERLINK("https://www.cookcountyassessoril.gov/pin/16102010060000", "16-10-201-006-0000")</f>
        <v>0</v>
      </c>
      <c r="V199" t="s">
        <v>970</v>
      </c>
    </row>
    <row r="200" spans="1:22">
      <c r="A200">
        <v>199</v>
      </c>
      <c r="B200" t="s">
        <v>203</v>
      </c>
      <c r="C200" t="s">
        <v>403</v>
      </c>
      <c r="D200" t="s">
        <v>414</v>
      </c>
      <c r="I200">
        <v>18328</v>
      </c>
      <c r="K200" t="s">
        <v>600</v>
      </c>
      <c r="L200">
        <f>HYPERLINK("https://maps.cookcountyil.gov/cookviewer/?search=2678 W WASHINGTON BLVD", "2678 W WASHINGTON BLVD")</f>
        <v>0</v>
      </c>
      <c r="N200" t="s">
        <v>602</v>
      </c>
      <c r="P200" t="s">
        <v>778</v>
      </c>
      <c r="Q200" t="s">
        <v>967</v>
      </c>
      <c r="U200">
        <f>HYPERLINK("https://www.cookcountyassessoril.gov/pin/16124180150000", "16-12-418-015-0000")</f>
        <v>0</v>
      </c>
      <c r="V200" t="s">
        <v>970</v>
      </c>
    </row>
    <row r="201" spans="1:22">
      <c r="A201">
        <v>200</v>
      </c>
      <c r="B201" t="s">
        <v>204</v>
      </c>
      <c r="C201" t="s">
        <v>404</v>
      </c>
      <c r="D201" t="s">
        <v>419</v>
      </c>
      <c r="I201">
        <v>2208</v>
      </c>
      <c r="K201" t="s">
        <v>601</v>
      </c>
      <c r="L201">
        <f>HYPERLINK("https://maps.cookcountyil.gov/cookviewer/?search=10441 S AVENUE J", "10441 S AVENUE J")</f>
        <v>0</v>
      </c>
      <c r="N201" t="s">
        <v>602</v>
      </c>
      <c r="P201" t="s">
        <v>779</v>
      </c>
      <c r="Q201" t="s">
        <v>968</v>
      </c>
      <c r="U201">
        <f>HYPERLINK("https://www.cookcountyassessoril.gov/pin/26083230150000", "26-08-323-015-0000")</f>
        <v>0</v>
      </c>
      <c r="V201" t="s">
        <v>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2025-09-09T20:01:41Z</dcterms:created>
  <dcterms:modified xsi:type="dcterms:W3CDTF">2025-09-09T20:01:41Z</dcterms:modified>
</cp:coreProperties>
</file>