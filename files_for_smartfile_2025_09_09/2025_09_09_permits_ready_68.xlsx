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<sst xmlns="http://schemas.openxmlformats.org/spreadsheetml/2006/main" count="1674" uniqueCount="967">
  <si>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</si>
  <si>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</si>
  <si>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</si>
  <si>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</si>
  <si>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</si>
  <si>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</si>
  <si>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</si>
  <si>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</si>
  <si>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</si>
  <si>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</si>
  <si>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</si>
  <si>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</si>
  <si>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</si>
  <si>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</si>
  <si>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</si>
  <si>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</si>
  <si>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</si>
  <si>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</si>
  <si>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</si>
  <si>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</si>
  <si>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</si>
  <si>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</si>
  <si>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</si>
  <si>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19173080380000</t>
  </si>
  <si>
    <t>17164250030000</t>
  </si>
  <si>
    <t>20264260290000</t>
  </si>
  <si>
    <t>19184230220000</t>
  </si>
  <si>
    <t>13161290210000</t>
  </si>
  <si>
    <t>14281150420000</t>
  </si>
  <si>
    <t>19252020250000</t>
  </si>
  <si>
    <t>13243130160000</t>
  </si>
  <si>
    <t>26312150500000</t>
  </si>
  <si>
    <t>17084400140000</t>
  </si>
  <si>
    <t>17084400130000</t>
  </si>
  <si>
    <t>25212110220000</t>
  </si>
  <si>
    <t>19274060320000</t>
  </si>
  <si>
    <t>13354060370000</t>
  </si>
  <si>
    <t>25211210010000</t>
  </si>
  <si>
    <t>17042090380000</t>
  </si>
  <si>
    <t>24133040610000</t>
  </si>
  <si>
    <t>13084300380000</t>
  </si>
  <si>
    <t>17093030860000</t>
  </si>
  <si>
    <t>13071190090000</t>
  </si>
  <si>
    <t>13142200080000</t>
  </si>
  <si>
    <t>21322000010000</t>
  </si>
  <si>
    <t>17103110090000</t>
  </si>
  <si>
    <t>14321200100000</t>
  </si>
  <si>
    <t>13123040270000</t>
  </si>
  <si>
    <t>19141230040000</t>
  </si>
  <si>
    <t>25192100310000</t>
  </si>
  <si>
    <t>16022060300000</t>
  </si>
  <si>
    <t>13281020340000</t>
  </si>
  <si>
    <t>17051210060000</t>
  </si>
  <si>
    <t>17151010220000</t>
  </si>
  <si>
    <t>17162410640000</t>
  </si>
  <si>
    <t>17101270150000</t>
  </si>
  <si>
    <t>19101150310000</t>
  </si>
  <si>
    <t>17094030010000</t>
  </si>
  <si>
    <t>19144300170000</t>
  </si>
  <si>
    <t>11304180230000</t>
  </si>
  <si>
    <t>25043270260000</t>
  </si>
  <si>
    <t>14302220370000</t>
  </si>
  <si>
    <t>25222220110000</t>
  </si>
  <si>
    <t>17094320140000</t>
  </si>
  <si>
    <t>17031070190000</t>
  </si>
  <si>
    <t>26173280820000</t>
  </si>
  <si>
    <t>13284270010000</t>
  </si>
  <si>
    <t>16272030100000</t>
  </si>
  <si>
    <t>20291110080000</t>
  </si>
  <si>
    <t>11312240110000</t>
  </si>
  <si>
    <t>16144080090000</t>
  </si>
  <si>
    <t>16014060310000</t>
  </si>
  <si>
    <t>13021020170000</t>
  </si>
  <si>
    <t>13271160190000</t>
  </si>
  <si>
    <t>19122220280000</t>
  </si>
  <si>
    <t>20162120020000</t>
  </si>
  <si>
    <t>13321200200000</t>
  </si>
  <si>
    <t>10313070040000</t>
  </si>
  <si>
    <t>26061290090000</t>
  </si>
  <si>
    <t>17162260050000</t>
  </si>
  <si>
    <t>19344050180000</t>
  </si>
  <si>
    <t>13233100100000</t>
  </si>
  <si>
    <t>13131230080000</t>
  </si>
  <si>
    <t>17094080140000</t>
  </si>
  <si>
    <t>17162160090000</t>
  </si>
  <si>
    <t>17102210830000</t>
  </si>
  <si>
    <t>19012030130000</t>
  </si>
  <si>
    <t>25212000100000</t>
  </si>
  <si>
    <t>17102100260000</t>
  </si>
  <si>
    <t>11321180200000</t>
  </si>
  <si>
    <t>17043030110000</t>
  </si>
  <si>
    <t>20263170190000</t>
  </si>
  <si>
    <t>19274080080000</t>
  </si>
  <si>
    <t>17094400010000</t>
  </si>
  <si>
    <t>14071150460000</t>
  </si>
  <si>
    <t>16272010480000</t>
  </si>
  <si>
    <t>16272010130000</t>
  </si>
  <si>
    <t>19353360570000</t>
  </si>
  <si>
    <t>16161100420000</t>
  </si>
  <si>
    <t>17153030020000</t>
  </si>
  <si>
    <t>17094050040000</t>
  </si>
  <si>
    <t>16054230080000</t>
  </si>
  <si>
    <t>17324130360000</t>
  </si>
  <si>
    <t>25282130180000</t>
  </si>
  <si>
    <t>14292040010000</t>
  </si>
  <si>
    <t>25084100410000</t>
  </si>
  <si>
    <t>20032200080000</t>
  </si>
  <si>
    <t>13191100450000</t>
  </si>
  <si>
    <t>19251020300000</t>
  </si>
  <si>
    <t>17221010430000</t>
  </si>
  <si>
    <t>16124070810000</t>
  </si>
  <si>
    <t>25152280320000</t>
  </si>
  <si>
    <t>13144070150000</t>
  </si>
  <si>
    <t>19232130170000</t>
  </si>
  <si>
    <t>19222000400000</t>
  </si>
  <si>
    <t>24134070220000</t>
  </si>
  <si>
    <t>24131030200000</t>
  </si>
  <si>
    <t>14283090310000</t>
  </si>
  <si>
    <t>17294110240000</t>
  </si>
  <si>
    <t>17161200090000</t>
  </si>
  <si>
    <t>16223120040000</t>
  </si>
  <si>
    <t>10361070180000</t>
  </si>
  <si>
    <t>13212030180000</t>
  </si>
  <si>
    <t>16233110290000</t>
  </si>
  <si>
    <t>16161130450000</t>
  </si>
  <si>
    <t>25012120860000</t>
  </si>
  <si>
    <t>13064020170000</t>
  </si>
  <si>
    <t>14291230270000</t>
  </si>
  <si>
    <t>19231120020000</t>
  </si>
  <si>
    <t>13333271720000</t>
  </si>
  <si>
    <t>13281020390000</t>
  </si>
  <si>
    <t>20102090270000</t>
  </si>
  <si>
    <t>25052120210000</t>
  </si>
  <si>
    <t>19353370650000</t>
  </si>
  <si>
    <t>17343230300000</t>
  </si>
  <si>
    <t>09361050880000</t>
  </si>
  <si>
    <t>17081180210000</t>
  </si>
  <si>
    <t>17311040410000</t>
  </si>
  <si>
    <t>20041210190000</t>
  </si>
  <si>
    <t>14294160900000</t>
  </si>
  <si>
    <t>26063000310000</t>
  </si>
  <si>
    <t>14203280460000</t>
  </si>
  <si>
    <t>24113010070000</t>
  </si>
  <si>
    <t>25031300290000</t>
  </si>
  <si>
    <t>14324030920000</t>
  </si>
  <si>
    <t>16111070320000</t>
  </si>
  <si>
    <t>13093290010000</t>
  </si>
  <si>
    <t>20202220410000</t>
  </si>
  <si>
    <t>14191060250000</t>
  </si>
  <si>
    <t>17064340220000</t>
  </si>
  <si>
    <t>13212310290000</t>
  </si>
  <si>
    <t>19171280100000</t>
  </si>
  <si>
    <t>14293050590000</t>
  </si>
  <si>
    <t>20211140250000</t>
  </si>
  <si>
    <t>17331220780000</t>
  </si>
  <si>
    <t>16141120220000</t>
  </si>
  <si>
    <t>09254220580000</t>
  </si>
  <si>
    <t>14171150410000</t>
  </si>
  <si>
    <t>17101100070000</t>
  </si>
  <si>
    <t>13262150500000</t>
  </si>
  <si>
    <t>19362060340000</t>
  </si>
  <si>
    <t>13124000010000</t>
  </si>
  <si>
    <t>19113010710000</t>
  </si>
  <si>
    <t>17094460160000</t>
  </si>
  <si>
    <t>14281090340000</t>
  </si>
  <si>
    <t>13362030140000</t>
  </si>
  <si>
    <t>17172050350000</t>
  </si>
  <si>
    <t>13024000220000</t>
  </si>
  <si>
    <t>19261080210000</t>
  </si>
  <si>
    <t>20184290100000</t>
  </si>
  <si>
    <t>20111050650000</t>
  </si>
  <si>
    <t>17162070050000</t>
  </si>
  <si>
    <t>20252230250000</t>
  </si>
  <si>
    <t>20111050690000</t>
  </si>
  <si>
    <t>20111050730000</t>
  </si>
  <si>
    <t>16124070830000</t>
  </si>
  <si>
    <t>17094030020000</t>
  </si>
  <si>
    <t>19263180470000</t>
  </si>
  <si>
    <t>20111050770000</t>
  </si>
  <si>
    <t>14172120300000</t>
  </si>
  <si>
    <t>10363000560000</t>
  </si>
  <si>
    <t>14321040320000</t>
  </si>
  <si>
    <t>13201100190000</t>
  </si>
  <si>
    <t>16052190220000</t>
  </si>
  <si>
    <t>13253000110000</t>
  </si>
  <si>
    <t>13331110380000</t>
  </si>
  <si>
    <t>17042100270000</t>
  </si>
  <si>
    <t>14281030650000</t>
  </si>
  <si>
    <t>19032000640000</t>
  </si>
  <si>
    <t>25093120050000</t>
  </si>
  <si>
    <t>13093320080000</t>
  </si>
  <si>
    <t>12242280240000</t>
  </si>
  <si>
    <t>17171010450000</t>
  </si>
  <si>
    <t>13231160210000</t>
  </si>
  <si>
    <t>19134090070000</t>
  </si>
  <si>
    <t>12121140160000</t>
  </si>
  <si>
    <t>13274160200000</t>
  </si>
  <si>
    <t>20363240350000</t>
  </si>
  <si>
    <t>20263110410000</t>
  </si>
  <si>
    <t>13262080290000</t>
  </si>
  <si>
    <t>17161130160000</t>
  </si>
  <si>
    <t>20282160090000</t>
  </si>
  <si>
    <t>B200435256</t>
  </si>
  <si>
    <t>B200435258</t>
  </si>
  <si>
    <t>B200435260</t>
  </si>
  <si>
    <t>B200435261</t>
  </si>
  <si>
    <t>B200435262</t>
  </si>
  <si>
    <t>B200435264</t>
  </si>
  <si>
    <t>B200435269</t>
  </si>
  <si>
    <t>B200435271</t>
  </si>
  <si>
    <t>B200435272</t>
  </si>
  <si>
    <t>B200435274</t>
  </si>
  <si>
    <t>B200435276</t>
  </si>
  <si>
    <t>B200435277</t>
  </si>
  <si>
    <t>B200435279</t>
  </si>
  <si>
    <t>B200435280</t>
  </si>
  <si>
    <t>B200435281</t>
  </si>
  <si>
    <t>B200435290</t>
  </si>
  <si>
    <t>B200435291</t>
  </si>
  <si>
    <t>B200435296</t>
  </si>
  <si>
    <t>B200435297</t>
  </si>
  <si>
    <t>B200435300</t>
  </si>
  <si>
    <t>B200435304</t>
  </si>
  <si>
    <t>B200435307</t>
  </si>
  <si>
    <t>B200435309</t>
  </si>
  <si>
    <t>B200435312</t>
  </si>
  <si>
    <t>B200435314</t>
  </si>
  <si>
    <t>B200435318</t>
  </si>
  <si>
    <t>B200435319</t>
  </si>
  <si>
    <t>B200435320</t>
  </si>
  <si>
    <t>B200435321</t>
  </si>
  <si>
    <t>B200435324</t>
  </si>
  <si>
    <t>B200435328</t>
  </si>
  <si>
    <t>B200435330</t>
  </si>
  <si>
    <t>B200435331</t>
  </si>
  <si>
    <t>B200435336</t>
  </si>
  <si>
    <t>B200435337</t>
  </si>
  <si>
    <t>B200435339</t>
  </si>
  <si>
    <t>B200435340</t>
  </si>
  <si>
    <t>B200435344</t>
  </si>
  <si>
    <t>B200435346</t>
  </si>
  <si>
    <t>B200435347</t>
  </si>
  <si>
    <t>B200435354</t>
  </si>
  <si>
    <t>B200435355</t>
  </si>
  <si>
    <t>B200435360</t>
  </si>
  <si>
    <t>B200435365</t>
  </si>
  <si>
    <t>B200435366</t>
  </si>
  <si>
    <t>B200435369</t>
  </si>
  <si>
    <t>B200435374</t>
  </si>
  <si>
    <t>B200435378</t>
  </si>
  <si>
    <t>B200435379</t>
  </si>
  <si>
    <t>B200435380</t>
  </si>
  <si>
    <t>B200435382</t>
  </si>
  <si>
    <t>B200435383</t>
  </si>
  <si>
    <t>B200435386</t>
  </si>
  <si>
    <t>B200435388</t>
  </si>
  <si>
    <t>B200435391</t>
  </si>
  <si>
    <t>B200435395</t>
  </si>
  <si>
    <t>B200435397</t>
  </si>
  <si>
    <t>B200435398</t>
  </si>
  <si>
    <t>B200435401</t>
  </si>
  <si>
    <t>B200435407</t>
  </si>
  <si>
    <t>B200435412</t>
  </si>
  <si>
    <t>B200435413</t>
  </si>
  <si>
    <t>B200435422</t>
  </si>
  <si>
    <t>B200435424</t>
  </si>
  <si>
    <t>B200435425</t>
  </si>
  <si>
    <t>B200435427</t>
  </si>
  <si>
    <t>B200435428</t>
  </si>
  <si>
    <t>B200435429</t>
  </si>
  <si>
    <t>B200435436</t>
  </si>
  <si>
    <t>B200435437</t>
  </si>
  <si>
    <t>B200435450</t>
  </si>
  <si>
    <t>B200435454</t>
  </si>
  <si>
    <t>B200435458</t>
  </si>
  <si>
    <t>B200435459</t>
  </si>
  <si>
    <t>B200435461</t>
  </si>
  <si>
    <t>B200435463</t>
  </si>
  <si>
    <t>B200435464</t>
  </si>
  <si>
    <t>B200435467</t>
  </si>
  <si>
    <t>B200435468</t>
  </si>
  <si>
    <t>B200435481</t>
  </si>
  <si>
    <t>B200435482</t>
  </si>
  <si>
    <t>B200435484</t>
  </si>
  <si>
    <t>B200435486</t>
  </si>
  <si>
    <t>B200435499</t>
  </si>
  <si>
    <t>B200435508</t>
  </si>
  <si>
    <t>B200435512</t>
  </si>
  <si>
    <t>B200435513</t>
  </si>
  <si>
    <t>B200435522</t>
  </si>
  <si>
    <t>B200435524</t>
  </si>
  <si>
    <t>B200435527</t>
  </si>
  <si>
    <t>B200435531</t>
  </si>
  <si>
    <t>B200435532</t>
  </si>
  <si>
    <t>B200435534</t>
  </si>
  <si>
    <t>B200435541</t>
  </si>
  <si>
    <t>B200435553</t>
  </si>
  <si>
    <t>B200435556</t>
  </si>
  <si>
    <t>B200435557</t>
  </si>
  <si>
    <t>B200435559</t>
  </si>
  <si>
    <t>B200435560</t>
  </si>
  <si>
    <t>B200435562</t>
  </si>
  <si>
    <t>B200435571</t>
  </si>
  <si>
    <t>B200435572</t>
  </si>
  <si>
    <t>B200435573</t>
  </si>
  <si>
    <t>B200435588</t>
  </si>
  <si>
    <t>B200435595</t>
  </si>
  <si>
    <t>B200435596</t>
  </si>
  <si>
    <t>B200435598</t>
  </si>
  <si>
    <t>B200435603</t>
  </si>
  <si>
    <t>B200435605</t>
  </si>
  <si>
    <t>B200435607</t>
  </si>
  <si>
    <t>B200435608</t>
  </si>
  <si>
    <t>B200435610</t>
  </si>
  <si>
    <t>B200435611</t>
  </si>
  <si>
    <t>B200435613</t>
  </si>
  <si>
    <t>B200435617</t>
  </si>
  <si>
    <t>B200435622</t>
  </si>
  <si>
    <t>B200435623</t>
  </si>
  <si>
    <t>B200435624</t>
  </si>
  <si>
    <t>B200435627</t>
  </si>
  <si>
    <t>B200435628</t>
  </si>
  <si>
    <t>B200435631</t>
  </si>
  <si>
    <t>B200435632</t>
  </si>
  <si>
    <t>B200435634</t>
  </si>
  <si>
    <t>B200435635</t>
  </si>
  <si>
    <t>B200435637</t>
  </si>
  <si>
    <t>B200435638</t>
  </si>
  <si>
    <t>B200435639</t>
  </si>
  <si>
    <t>B200435641</t>
  </si>
  <si>
    <t>B200435642</t>
  </si>
  <si>
    <t>B200435643</t>
  </si>
  <si>
    <t>B200435644</t>
  </si>
  <si>
    <t>B200435645</t>
  </si>
  <si>
    <t>B200435646</t>
  </si>
  <si>
    <t>B200435647</t>
  </si>
  <si>
    <t>B200435648</t>
  </si>
  <si>
    <t>B200435650</t>
  </si>
  <si>
    <t>B200435651</t>
  </si>
  <si>
    <t>B200435653</t>
  </si>
  <si>
    <t>B200435661</t>
  </si>
  <si>
    <t>B200435662</t>
  </si>
  <si>
    <t>B200435663</t>
  </si>
  <si>
    <t>B200435665</t>
  </si>
  <si>
    <t>B200435667</t>
  </si>
  <si>
    <t>B200435669</t>
  </si>
  <si>
    <t>B200435673</t>
  </si>
  <si>
    <t>B200435674</t>
  </si>
  <si>
    <t>B200435677</t>
  </si>
  <si>
    <t>B200435678</t>
  </si>
  <si>
    <t>B200435679</t>
  </si>
  <si>
    <t>B200435680</t>
  </si>
  <si>
    <t>B200435681</t>
  </si>
  <si>
    <t>B200435682</t>
  </si>
  <si>
    <t>B200435683</t>
  </si>
  <si>
    <t>B200435684</t>
  </si>
  <si>
    <t>B200435686</t>
  </si>
  <si>
    <t>B200435691</t>
  </si>
  <si>
    <t>B200435693</t>
  </si>
  <si>
    <t>B200435694</t>
  </si>
  <si>
    <t>B200435695</t>
  </si>
  <si>
    <t>B200435697</t>
  </si>
  <si>
    <t>B200435699</t>
  </si>
  <si>
    <t>B200435700</t>
  </si>
  <si>
    <t>B200435701</t>
  </si>
  <si>
    <t>B200435702</t>
  </si>
  <si>
    <t>B200435704</t>
  </si>
  <si>
    <t>B200435705</t>
  </si>
  <si>
    <t>B200435706</t>
  </si>
  <si>
    <t>B200435707</t>
  </si>
  <si>
    <t>B200435710</t>
  </si>
  <si>
    <t>B200435711</t>
  </si>
  <si>
    <t>B200435712</t>
  </si>
  <si>
    <t>B200435713</t>
  </si>
  <si>
    <t>B200435714</t>
  </si>
  <si>
    <t>B200435717</t>
  </si>
  <si>
    <t>B200435718</t>
  </si>
  <si>
    <t>B200435719</t>
  </si>
  <si>
    <t>B200435721</t>
  </si>
  <si>
    <t>B200435727</t>
  </si>
  <si>
    <t>B200435728</t>
  </si>
  <si>
    <t>B200435729</t>
  </si>
  <si>
    <t>B200435730</t>
  </si>
  <si>
    <t>B200435732</t>
  </si>
  <si>
    <t>B200435733</t>
  </si>
  <si>
    <t>B200435735</t>
  </si>
  <si>
    <t>B200435736</t>
  </si>
  <si>
    <t>B200435739</t>
  </si>
  <si>
    <t>B200435740</t>
  </si>
  <si>
    <t>B200435746</t>
  </si>
  <si>
    <t>B200435760</t>
  </si>
  <si>
    <t>B200435761</t>
  </si>
  <si>
    <t>B200435764</t>
  </si>
  <si>
    <t>B200435767</t>
  </si>
  <si>
    <t>B200435769</t>
  </si>
  <si>
    <t>B200435774</t>
  </si>
  <si>
    <t>B200435776</t>
  </si>
  <si>
    <t>B200435777</t>
  </si>
  <si>
    <t>B200435781</t>
  </si>
  <si>
    <t>B200435782</t>
  </si>
  <si>
    <t>B200435793</t>
  </si>
  <si>
    <t>B200435796</t>
  </si>
  <si>
    <t>7/24/2025</t>
  </si>
  <si>
    <t>8/9/2025</t>
  </si>
  <si>
    <t>7/28/2025</t>
  </si>
  <si>
    <t>7/25/2025</t>
  </si>
  <si>
    <t>7/29/2025</t>
  </si>
  <si>
    <t>8/2/2025</t>
  </si>
  <si>
    <t>7/31/2025</t>
  </si>
  <si>
    <t>8/11/2025</t>
  </si>
  <si>
    <t>7/30/2025</t>
  </si>
  <si>
    <t>8/27/2025</t>
  </si>
  <si>
    <t>8/7/2025</t>
  </si>
  <si>
    <t>8/25/2025</t>
  </si>
  <si>
    <t>8/1/2025</t>
  </si>
  <si>
    <t>8/13/2025</t>
  </si>
  <si>
    <t>8/12/2025</t>
  </si>
  <si>
    <t>8/5/2025</t>
  </si>
  <si>
    <t>8/3/2025</t>
  </si>
  <si>
    <t>8/15/2025</t>
  </si>
  <si>
    <t>8/19/2025</t>
  </si>
  <si>
    <t>8/6/2025</t>
  </si>
  <si>
    <t>8/26/2025</t>
  </si>
  <si>
    <t>8/4/2025</t>
  </si>
  <si>
    <t>8/8/2025</t>
  </si>
  <si>
    <t>7/26/2025</t>
  </si>
  <si>
    <t>7/27/2025</t>
  </si>
  <si>
    <t>8/20/2025</t>
  </si>
  <si>
    <t>8/18/2025</t>
  </si>
  <si>
    <t>6106 W 60TH ST</t>
  </si>
  <si>
    <t>1166 S PLYMOUTH CT</t>
  </si>
  <si>
    <t>7834 S KENWOOD AVE</t>
  </si>
  <si>
    <t>6208 S NORMANDY AVE</t>
  </si>
  <si>
    <t>5329 W AGATITE AVE</t>
  </si>
  <si>
    <t>712 W DIVERSEY PKWY</t>
  </si>
  <si>
    <t>7159 S WASHTENAW AVE</t>
  </si>
  <si>
    <t>3325 N WHIPPLE ST</t>
  </si>
  <si>
    <t>13246 S HOUSTON AVE</t>
  </si>
  <si>
    <t>123 N SANGAMON ST</t>
  </si>
  <si>
    <t>922 W WASHINGTON BLVD</t>
  </si>
  <si>
    <t>48 W 112TH PL</t>
  </si>
  <si>
    <t>7854 S KEDVALE AVE</t>
  </si>
  <si>
    <t>1814 N DRAKE AVE</t>
  </si>
  <si>
    <t>11301 S PARNELL AVE</t>
  </si>
  <si>
    <t>57 W BURTON PL</t>
  </si>
  <si>
    <t>10835 S KEDZIE AVE</t>
  </si>
  <si>
    <t>5852 W LAWRENCE AVE</t>
  </si>
  <si>
    <t>330 N CLINTON ST</t>
  </si>
  <si>
    <t>5364 N NOTTINGHAM AVE</t>
  </si>
  <si>
    <t>4529 N SAWYER AVE</t>
  </si>
  <si>
    <t>8301 S BRANDON AVE</t>
  </si>
  <si>
    <t>25 E WASHINGTON ST</t>
  </si>
  <si>
    <t>1511 W WEBSTER AVE</t>
  </si>
  <si>
    <t>5036 N ALBANY AVE</t>
  </si>
  <si>
    <t>3647 W 57TH PL</t>
  </si>
  <si>
    <t>11258 S CHURCH ST</t>
  </si>
  <si>
    <t>3320 W LE MOYNE ST</t>
  </si>
  <si>
    <t>3116 N LOTUS AVE</t>
  </si>
  <si>
    <t>1357 N ELSTON AVE</t>
  </si>
  <si>
    <t>37 S WABASH AVE</t>
  </si>
  <si>
    <t>400 S WELLS ST</t>
  </si>
  <si>
    <t>22 E HUBBARD ST</t>
  </si>
  <si>
    <t>4959 S KILPATRICK AVE</t>
  </si>
  <si>
    <t>222 W MERCHANDISE MART PLZ</t>
  </si>
  <si>
    <t>3311 W 62ND PL</t>
  </si>
  <si>
    <t>1938 W TOUHY AVE</t>
  </si>
  <si>
    <t>9438 S PARNELL AVE</t>
  </si>
  <si>
    <t>1821 W OAKDALE AVE</t>
  </si>
  <si>
    <t>11325 S LANGLEY AVE</t>
  </si>
  <si>
    <t>177 N WELLS ST</t>
  </si>
  <si>
    <t>1310 N RITCHIE CT</t>
  </si>
  <si>
    <t>11341 S AVENUE J</t>
  </si>
  <si>
    <t>4854 W MONTANA ST</t>
  </si>
  <si>
    <t>2215 S KILDARE AVE</t>
  </si>
  <si>
    <t>1459 W 72ND ST</t>
  </si>
  <si>
    <t>1821 W FARWELL AVE</t>
  </si>
  <si>
    <t>3537 W LEXINGTON ST</t>
  </si>
  <si>
    <t>2546 W THOMAS ST</t>
  </si>
  <si>
    <t>6315 N AVERS AVE</t>
  </si>
  <si>
    <t>2905 N KEATING AVE</t>
  </si>
  <si>
    <t>5026 S CAMPBELL AVE</t>
  </si>
  <si>
    <t>5707 S WENTWORTH AVE</t>
  </si>
  <si>
    <t>2117 N MELVINA AVE</t>
  </si>
  <si>
    <t>6453 N NEVA AVE</t>
  </si>
  <si>
    <t>2923 E 97TH ST</t>
  </si>
  <si>
    <t>300 S WACKER DR</t>
  </si>
  <si>
    <t>8358 S KARLOV AVE</t>
  </si>
  <si>
    <t>3427 N HARDING AVE</t>
  </si>
  <si>
    <t>4535 N FRANCISCO AVE</t>
  </si>
  <si>
    <t>353 N CLARK ST</t>
  </si>
  <si>
    <t>233 S WACKER DR</t>
  </si>
  <si>
    <t>415 E NORTH WATER ST</t>
  </si>
  <si>
    <t>2541 W 39TH PL</t>
  </si>
  <si>
    <t>315 W 111TH ST</t>
  </si>
  <si>
    <t>541 N FAIRBANKS CT</t>
  </si>
  <si>
    <t>6922 N LAKEWOOD AVE</t>
  </si>
  <si>
    <t>1160 N LARRABEE ST</t>
  </si>
  <si>
    <t>810 E 79TH ST</t>
  </si>
  <si>
    <t>4333 W 77TH PL</t>
  </si>
  <si>
    <t>110 N WACKER DR</t>
  </si>
  <si>
    <t>2217 W FARRAGUT AVE</t>
  </si>
  <si>
    <t>2234 S KOLIN AVE</t>
  </si>
  <si>
    <t>2225 S KIRKLAND AVE</t>
  </si>
  <si>
    <t>3805 W 86TH PL</t>
  </si>
  <si>
    <t>5336 W JACKSON BLVD</t>
  </si>
  <si>
    <t>725 S WABASH AVE</t>
  </si>
  <si>
    <t>300 N LA SALLE DR</t>
  </si>
  <si>
    <t>941 N PARKSIDE AVE</t>
  </si>
  <si>
    <t>832 W 37TH PL</t>
  </si>
  <si>
    <t>12000 S PERRY AVE</t>
  </si>
  <si>
    <t>953 W BELMONT AVE</t>
  </si>
  <si>
    <t>10054 S CARPENTER ST</t>
  </si>
  <si>
    <t>4223 S DR MARTIN LUTHER KING JR DR</t>
  </si>
  <si>
    <t>3837 N NEVA AVE</t>
  </si>
  <si>
    <t>7130 S WHIPPLE ST</t>
  </si>
  <si>
    <t>1250 S MICHIGAN AVE</t>
  </si>
  <si>
    <t>259 N CALIFORNIA AVE</t>
  </si>
  <si>
    <t>10663 S CHAMPLAIN AVE</t>
  </si>
  <si>
    <t>4307 N SAWYER AVE</t>
  </si>
  <si>
    <t>3403 W 64TH PL</t>
  </si>
  <si>
    <t>6358 S KOLIN AVE</t>
  </si>
  <si>
    <t>10702 S WESTERN AVE</t>
  </si>
  <si>
    <t>10341 S WHIPPLE ST</t>
  </si>
  <si>
    <t>2740 N PINE GROVE AVE</t>
  </si>
  <si>
    <t>2855 S KEELEY ST</t>
  </si>
  <si>
    <t>320 S CANAL ST</t>
  </si>
  <si>
    <t>1804 S KILBOURN AVE</t>
  </si>
  <si>
    <t>2901 W GREENLEAF AVE</t>
  </si>
  <si>
    <t>4838 W DAKIN ST</t>
  </si>
  <si>
    <t>1810 S HAMLIN AVE</t>
  </si>
  <si>
    <t>5330 W GLADYS AVE</t>
  </si>
  <si>
    <t>2200 E 89TH ST</t>
  </si>
  <si>
    <t>5916 N NAVARRE AVE</t>
  </si>
  <si>
    <t>1226 W GEORGE ST</t>
  </si>
  <si>
    <t>6439 S PULASKI RD</t>
  </si>
  <si>
    <t>5339 W GALEWOOD AVE</t>
  </si>
  <si>
    <t>5436 W BARRY AVE</t>
  </si>
  <si>
    <t>4834 S FORRESTVILLE AVE</t>
  </si>
  <si>
    <t>8800 S MORGAN ST</t>
  </si>
  <si>
    <t>3712 W 87TH ST</t>
  </si>
  <si>
    <t>3847 S MICHIGAN AVE</t>
  </si>
  <si>
    <t>7026 N ORIOLE AVE</t>
  </si>
  <si>
    <t>1342 W OHIO ST</t>
  </si>
  <si>
    <t>3304 S OAKLEY AVE</t>
  </si>
  <si>
    <t>521 W ROOT ST</t>
  </si>
  <si>
    <t>870 W LILL AVE</t>
  </si>
  <si>
    <t>9120 S PHILLIPS AVE</t>
  </si>
  <si>
    <t>1500 W BELMONT AVE</t>
  </si>
  <si>
    <t>10209 S SPRINGFIELD AVE</t>
  </si>
  <si>
    <t>51 E 89TH ST</t>
  </si>
  <si>
    <t>1900 N SHEFFIELD AVE</t>
  </si>
  <si>
    <t>710 N CENTRAL PARK AVE</t>
  </si>
  <si>
    <t>4822 N LONG AVE</t>
  </si>
  <si>
    <t>840 W 66TH ST</t>
  </si>
  <si>
    <t>3928 N SEELEY AVE</t>
  </si>
  <si>
    <t>858 N WOLCOTT AVE</t>
  </si>
  <si>
    <t>3612 N CICERO AVE</t>
  </si>
  <si>
    <t>5829 S MELVINA AVE</t>
  </si>
  <si>
    <t>2755 N LAKEWOOD AVE</t>
  </si>
  <si>
    <t>6454 S STEWART AVE</t>
  </si>
  <si>
    <t>3414 S PARNELL AVE</t>
  </si>
  <si>
    <t>3942 W CONGRESS PKWY</t>
  </si>
  <si>
    <t>7309 N ODELL AVE</t>
  </si>
  <si>
    <t>1346 W SUNNYSIDE AVE</t>
  </si>
  <si>
    <t>676 N ST CLAIR ST</t>
  </si>
  <si>
    <t>2915 N GRESHAM AVE</t>
  </si>
  <si>
    <t>7942 S ARTESIAN AVE</t>
  </si>
  <si>
    <t>5145 N CALIFORNIA AVE</t>
  </si>
  <si>
    <t>3901 W 51ST ST</t>
  </si>
  <si>
    <t>120 N LA SALLE ST</t>
  </si>
  <si>
    <t>421 W BARRY AVE</t>
  </si>
  <si>
    <t>2317 N ROCKWELL ST</t>
  </si>
  <si>
    <t>1034 W MONROE ST</t>
  </si>
  <si>
    <t>3556 W THORNDALE AVE</t>
  </si>
  <si>
    <t>7211 S HARDING AVE</t>
  </si>
  <si>
    <t>6227 S HERMITAGE AVE</t>
  </si>
  <si>
    <t>4812 S DREXEL BLVD</t>
  </si>
  <si>
    <t>150 S WACKER DR</t>
  </si>
  <si>
    <t>2100 E 75TH ST</t>
  </si>
  <si>
    <t>4814 S DREXEL BLVD</t>
  </si>
  <si>
    <t>4816 S DREXEL BLVD</t>
  </si>
  <si>
    <t>273 N CALIFORNIA AVE</t>
  </si>
  <si>
    <t>3824 W PIPPIN ST</t>
  </si>
  <si>
    <t>4818 S DREXEL BLVD</t>
  </si>
  <si>
    <t>935 W LELAND AVE</t>
  </si>
  <si>
    <t>3126 W WALLEN AVE</t>
  </si>
  <si>
    <t>1357 W FULLERTON AVE</t>
  </si>
  <si>
    <t>6211 W BERENICE AVE</t>
  </si>
  <si>
    <t>1346 N MENARD AVE</t>
  </si>
  <si>
    <t>2725 N KEDZIE AVE</t>
  </si>
  <si>
    <t>2106 N LATROBE AVE</t>
  </si>
  <si>
    <t>1540 N STATE PKWY</t>
  </si>
  <si>
    <t>450 W BRIAR PL</t>
  </si>
  <si>
    <t>4405 W 44TH ST</t>
  </si>
  <si>
    <t>10019 S WALLACE ST</t>
  </si>
  <si>
    <t>5216 W LAWRENCE AVE</t>
  </si>
  <si>
    <t>7418 W ADDISON ST</t>
  </si>
  <si>
    <t>6 S LAFLIN ST</t>
  </si>
  <si>
    <t>3762 N HARDING AVE</t>
  </si>
  <si>
    <t>6019 S FAIRFIELD AVE</t>
  </si>
  <si>
    <t>5333 N OZANAM AVE</t>
  </si>
  <si>
    <t>2434 N LOWELL AVE</t>
  </si>
  <si>
    <t>1640 E 86TH PL</t>
  </si>
  <si>
    <t>7557 S COTTAGE GROVE AVE</t>
  </si>
  <si>
    <t>3048 N DRAKE AVE</t>
  </si>
  <si>
    <t>565 W QUINCY ST</t>
  </si>
  <si>
    <t>7335 S STEWART AVE</t>
  </si>
  <si>
    <t>CHICAGO, IL</t>
  </si>
  <si>
    <t>MOSE JAMES</t>
  </si>
  <si>
    <t>BURKETT JEFF</t>
  </si>
  <si>
    <t>MOORE KIMLEMAY</t>
  </si>
  <si>
    <t>ROJAS JUAN CARLOS</t>
  </si>
  <si>
    <t>BLUMSTEIN JOSHUA</t>
  </si>
  <si>
    <t>SIG STRAUTMANIS GENERAL CAPITAL GROUP</t>
  </si>
  <si>
    <t>RATINO RON</t>
  </si>
  <si>
    <t>MASIANKA JOSEPH</t>
  </si>
  <si>
    <t>WERLING RICHARD</t>
  </si>
  <si>
    <t>PL  922 WASHINGTON  OWNER LLC</t>
  </si>
  <si>
    <t>BUSH JR JIMMY</t>
  </si>
  <si>
    <t>PATINO FEDERICO</t>
  </si>
  <si>
    <t>TRUJILLO SINFOREANO</t>
  </si>
  <si>
    <t>HENLY SHANNON</t>
  </si>
  <si>
    <t>JONES LARRY</t>
  </si>
  <si>
    <t>CHAVEZ GINGER</t>
  </si>
  <si>
    <t>BLAKE RESIDENTIAL &amp; COMMERCIAL DEVELOPMENT*</t>
  </si>
  <si>
    <t>FULTON STATION CONDOMINIUMS</t>
  </si>
  <si>
    <t>BLEICHER JAMES</t>
  </si>
  <si>
    <t>MARQUINA CRISTINA</t>
  </si>
  <si>
    <t>VIVEROS JOSE</t>
  </si>
  <si>
    <t>25 EAST WASHINGTON ASSOCIATES, LP</t>
  </si>
  <si>
    <t>CH ROBINSON</t>
  </si>
  <si>
    <t>SPALDING ERIKA</t>
  </si>
  <si>
    <t>GE DESIGNS AND CONSTRUCTION INC</t>
  </si>
  <si>
    <t>LIU SANDY</t>
  </si>
  <si>
    <t>BILYK PETER</t>
  </si>
  <si>
    <t>MARTINEZ MIGUEL</t>
  </si>
  <si>
    <t>BLUE STAR PROPERTIES</t>
  </si>
  <si>
    <t>SCHOOL OF THE ART INSTITUTE OF CHICAGO (SAIC)</t>
  </si>
  <si>
    <t>JG IL LLC</t>
  </si>
  <si>
    <t>440 NORTHRIDGE GROUP, LLC</t>
  </si>
  <si>
    <t>ROJAS CARLOS</t>
  </si>
  <si>
    <t>ROMERO JUAN</t>
  </si>
  <si>
    <t>MERCHANDISE MART PROPERTIES, INC.</t>
  </si>
  <si>
    <t>GUTIERREZ ONOFRE</t>
  </si>
  <si>
    <t>QUINN BRIAN</t>
  </si>
  <si>
    <t>PENNAMON PAMELA</t>
  </si>
  <si>
    <t>BINNEY CATHERINE</t>
  </si>
  <si>
    <t>KIERAS MARK</t>
  </si>
  <si>
    <t>LLC INTERPARK</t>
  </si>
  <si>
    <t>DOLYA LUCY</t>
  </si>
  <si>
    <t>QUINTERO ELIAS</t>
  </si>
  <si>
    <t>ST. GENEVIEVE CATHOLIC SCHOOL</t>
  </si>
  <si>
    <t>PEREZ JUAN</t>
  </si>
  <si>
    <t>JIMENEZ JESUS</t>
  </si>
  <si>
    <t>JACOB LAURA</t>
  </si>
  <si>
    <t>MECUM RYAN</t>
  </si>
  <si>
    <t>MIRANDA GUADALUPE</t>
  </si>
  <si>
    <t>SALEH ANEES</t>
  </si>
  <si>
    <t>GROH ROBIN</t>
  </si>
  <si>
    <t>MASSON ROSALINDA</t>
  </si>
  <si>
    <t>THOMAS LONNIE</t>
  </si>
  <si>
    <t>ZAMORA LUCIA</t>
  </si>
  <si>
    <t>GRZEGORCZYK PATRYK</t>
  </si>
  <si>
    <t>DUARTE JOSE</t>
  </si>
  <si>
    <t>300 SW PROP HOLDINGS LLC</t>
  </si>
  <si>
    <t>SMITH DONALD</t>
  </si>
  <si>
    <t>DE HAAN DEREK</t>
  </si>
  <si>
    <t>HURLEY DAN</t>
  </si>
  <si>
    <t>HART 353 N CLARK LLC</t>
  </si>
  <si>
    <t>UNITED AIRLINES</t>
  </si>
  <si>
    <t>JEFF MAIERS REAL ESTATE, LLC</t>
  </si>
  <si>
    <t>O'MEARA JOHN</t>
  </si>
  <si>
    <t>SONI PRAGNABEN</t>
  </si>
  <si>
    <t>NORTHWESTERN MEMORIAL HOSPITAL</t>
  </si>
  <si>
    <t>ROSE COURT CONDO ASSOCIATION</t>
  </si>
  <si>
    <t>CHICAGO POLICE DEPARTMENT-18TH</t>
  </si>
  <si>
    <t>WSHAH QUSAI</t>
  </si>
  <si>
    <t>SOLSKI DAVID</t>
  </si>
  <si>
    <t>TITLEHOLDER, LLC 110 N. WACKER</t>
  </si>
  <si>
    <t>ASHLAW ANGELA</t>
  </si>
  <si>
    <t>BONTEMPS ROMMEL</t>
  </si>
  <si>
    <t>ORTIZ SAMUEL</t>
  </si>
  <si>
    <t>ROBINSON ERICA</t>
  </si>
  <si>
    <t>COLLIER MARY</t>
  </si>
  <si>
    <t>HILTON CHICAGO</t>
  </si>
  <si>
    <t>CBRE, INC</t>
  </si>
  <si>
    <t>NELSON CAROLYN</t>
  </si>
  <si>
    <t>SERGEL MICHELLE</t>
  </si>
  <si>
    <t>CHI FNF LLC</t>
  </si>
  <si>
    <t>MICO, INC.</t>
  </si>
  <si>
    <t>HEARD MITCHELL</t>
  </si>
  <si>
    <t>WASHINGTON ALANNA</t>
  </si>
  <si>
    <t>MOSQUERA MARY ANN</t>
  </si>
  <si>
    <t>MADRIGAL MARIA</t>
  </si>
  <si>
    <t>SPERRY COURTNEY</t>
  </si>
  <si>
    <t>AYALYTICAL INSTRUMENTS INC.</t>
  </si>
  <si>
    <t>PLUS INVESTMENTS LLC</t>
  </si>
  <si>
    <t>CLARK KENNEDY</t>
  </si>
  <si>
    <t>LLC 110 NORTH WACKER TITLEHOLDER</t>
  </si>
  <si>
    <t>TABORDA CARDONA LUZ ADRIANA</t>
  </si>
  <si>
    <t>PULE PATRICIA</t>
  </si>
  <si>
    <t>T3H GROUP INC</t>
  </si>
  <si>
    <t>MILLER SANDRA</t>
  </si>
  <si>
    <t>DOBOSZ TESS</t>
  </si>
  <si>
    <t>ECHEVARRIA SAMUEL</t>
  </si>
  <si>
    <t>EQUINIX LLC</t>
  </si>
  <si>
    <t>MONAGHAN BRIAN E</t>
  </si>
  <si>
    <t>WULKAN AHRON</t>
  </si>
  <si>
    <t>PLAMBECK RICH</t>
  </si>
  <si>
    <t>COSTEA IOAN</t>
  </si>
  <si>
    <t>BRUNDAGE DUSHAUNE</t>
  </si>
  <si>
    <t>THOMPSON SHARON</t>
  </si>
  <si>
    <t>GIANFORTUNE MICHAEL</t>
  </si>
  <si>
    <t>ANDREEA L. YAO REVOCABLE TRUST</t>
  </si>
  <si>
    <t>JAIMES HAROLD</t>
  </si>
  <si>
    <t>HERNANDEZ YVONNE</t>
  </si>
  <si>
    <t>NA BANKFINANCIAL</t>
  </si>
  <si>
    <t>TAYLOR RONALD</t>
  </si>
  <si>
    <t>LYNCH TARA</t>
  </si>
  <si>
    <t>TARBELL JOSE</t>
  </si>
  <si>
    <t>GORDON CARMELLA</t>
  </si>
  <si>
    <t>KAPITAL ELECTRIC CO., INC</t>
  </si>
  <si>
    <t>EZMB LLC</t>
  </si>
  <si>
    <t>DON JUN</t>
  </si>
  <si>
    <t>DOWD WINIFRED</t>
  </si>
  <si>
    <t>PARNELL CAROL</t>
  </si>
  <si>
    <t>DAVIS JERRY</t>
  </si>
  <si>
    <t>HARRIS SONYA</t>
  </si>
  <si>
    <t>TOWNSEND KIMBERLY</t>
  </si>
  <si>
    <t>CHICAGO SPECIAL EVENTS MANAGEMENT</t>
  </si>
  <si>
    <t>INVESTMENT PROPERTY 10, LLC</t>
  </si>
  <si>
    <t>KRC MICHAEL</t>
  </si>
  <si>
    <t>BARTELS AARON</t>
  </si>
  <si>
    <t>SCHIOPU FLAVIUS</t>
  </si>
  <si>
    <t>DOMINGUEZ DANTE</t>
  </si>
  <si>
    <t>PRAIRIE SHORES MANAGEMENT</t>
  </si>
  <si>
    <t>JONES LAVON</t>
  </si>
  <si>
    <t>ALVARADO CLAUDIA</t>
  </si>
  <si>
    <t>THOMAS DONALD</t>
  </si>
  <si>
    <t>SOBO ALEXANDRA</t>
  </si>
  <si>
    <t>JAMES BALISE CONDOMINIUM ASSC</t>
  </si>
  <si>
    <t>WALACH ERIN</t>
  </si>
  <si>
    <t>CALHOUN MELODY</t>
  </si>
  <si>
    <t>ENDEAVOR HEALTH SWEDISH HOSPITAL</t>
  </si>
  <si>
    <t>WENG XIAOXIA</t>
  </si>
  <si>
    <t>VOGELZANG LAW</t>
  </si>
  <si>
    <t>PRODIGY REAL ESTATE GROUP</t>
  </si>
  <si>
    <t>BEAL PROPERTIES</t>
  </si>
  <si>
    <t>CARMICHAEL PLACE LLC</t>
  </si>
  <si>
    <t>BENNETT LUKE</t>
  </si>
  <si>
    <t>GUIJOZA GUADALUPE</t>
  </si>
  <si>
    <t>SHORT SEAN</t>
  </si>
  <si>
    <t>NHS REDEVELOPMENT CORP.</t>
  </si>
  <si>
    <t>MJH WAKER LLC</t>
  </si>
  <si>
    <t>ANSCO CONSTRUCTION LLC</t>
  </si>
  <si>
    <t>PERK SPOT</t>
  </si>
  <si>
    <t>NUNEZ JOSE</t>
  </si>
  <si>
    <t>HASSONG ETHAN</t>
  </si>
  <si>
    <t>GERSTEN JEFF</t>
  </si>
  <si>
    <t>KOZUP STEVEN</t>
  </si>
  <si>
    <t>GIULIA MORALEJO</t>
  </si>
  <si>
    <t>PENDLETON WILLIE</t>
  </si>
  <si>
    <t>PEREZ HERNANDEZ HUMBERTO</t>
  </si>
  <si>
    <t>GUZMAN MIRIAM</t>
  </si>
  <si>
    <t>1540 N. STATE PARKWAY CONDO ASSOCIATION</t>
  </si>
  <si>
    <t>ZAGORIN SANDRA</t>
  </si>
  <si>
    <t>SCOUT COLD STORAGE</t>
  </si>
  <si>
    <t>WORDLOW MARY</t>
  </si>
  <si>
    <t>COPERNICUS FOUNDATION</t>
  </si>
  <si>
    <t>TORO CARLOS</t>
  </si>
  <si>
    <t>XIA JULIE</t>
  </si>
  <si>
    <t>ELLINGTON JESSICA</t>
  </si>
  <si>
    <t>SANCHEZ AMADOR</t>
  </si>
  <si>
    <t>GUZMAN ALONSO</t>
  </si>
  <si>
    <t>ZARAGOZA REUBEN</t>
  </si>
  <si>
    <t>PEAVY MARKENA</t>
  </si>
  <si>
    <t>BAROMAN CORP</t>
  </si>
  <si>
    <t>GELLAR MICHAEL</t>
  </si>
  <si>
    <t>565 W QUINCY CONDO ASSOC</t>
  </si>
  <si>
    <t>CRANSHAW KENNETH</t>
  </si>
  <si>
    <t>LINE VOLTAGE ELECTRICAL WORK. NEW PERMANENT 200 AMP SERVICE DISCONNECTING MEANS WITH 30 CIRCUITS. RECEPTACLE OUTLETS: 1 . LIGHTING OUTLETS: 0. SPECIFIC LOCATION: GARAGE.</t>
  </si>
  <si>
    <t>SCOPE: NONSTRUCTURAL INTERIOR BATHROOM RENOVATION. LOCATIONS: 1 RESIDENTIAL UNIT(S), 0 NON-RESIDENTIAL UNIT(S) UNIT 1NE</t>
  </si>
  <si>
    <t>LINE VOLTAGE ELECTRICAL WORK. NEW PERMANENT 200 AMP SERVICE DISCONNECTING MEANS WITH 1 CIRCUITS. RECEPTACLE OUTLETS: 1 . LIGHTING OUTLETS: 0. 13.5 KWH LITHIUM ION ENERGY STORAGE SYSTEM. SPECIFIC LOCATION: SERVICE CONDUCTORS, EXTERIOR WALL.</t>
  </si>
  <si>
    <t>LINE VOLTAGE ELECTRICAL WORK. NEW PERMANENT 125 AMP SERVICE DISCONNECTING MEANS WITH 1 CIRCUITS. RECEPTACLE OUTLETS: 1 . LIGHTING OUTLETS: 0. 13.5 KWH LITHIUM ION ENERGY STORAGE SYSTEM. SPECIFIC LOCATION: EXTERIOR WALL.</t>
  </si>
  <si>
    <t>INSTALL SOLAR PANELS ON ROOF OF ACCESSORY BUILDING. ROOF TYPE: SLOPED (2:12 TO 5:12). INVERTER OUTPUT: 10 KW. ARRAY OUTPUT: 7.2 KW.   INCLUDES 10 KWH ENERGY STORAGE SYSTEM.  LOCATION: ROOF OF GARAGE AND BATTERY IN BASEMENT. ICC DISTRIBUTED GENERATION INSTALLER CERT. #18-0495. | SPECIAL CONDITION: * NEC REFERENCES TO BE OMITTED FROM DRAWINGS, ALL GENERAL ELECTRICAL NOTES SHALL REFERENCE CEC 2018. * PLEASE REFER TO ELECTRICAL PERMIT B200435269.* UNDERGROUND RACEWAY TO BE INSPECTED BY AHJ PRIOR TO COVERING. * ALL EQUIPMENT, CONNECTORS, RACEWAYS, TAPS, MUST BE LISTED AND LABELED FOR USE.</t>
  </si>
  <si>
    <t>TUCKPOINTING AND UNIT MASONRY REPAIR / REPLACEMENT: 1200 SQ. FT., LINTEL QTY. 0, MAX. LENGTH 0. CONCRETE MASONRY REPAIR / REPLACEMNT: 25SQ. FT., EXCAVATION = . LOCATION: ALL ELEVATIONS.</t>
  </si>
  <si>
    <t>LINE VOLTAGE ELECTRICAL WORK. NEW PERMANENT 200 AMP SERVICE DISCONNECTING MEANS WITH 30 CIRCUITS. RECEPTACLE OUTLETS: 1 . LIGHTING OUTLETS: 0. SPECIFIC LOCATION: THE ELECTRICAL PANEL IN THE BASEMENT AND THE METER.</t>
  </si>
  <si>
    <t>SCOPE: ROOF REPLACEMENT. AREA: 1166 SQ. FT. ROOF COVERING: ASPHALT SHINGLES. LOCATION: ON TOP OF THE ROOF. IL ROOFING CONTRACTOR LICENSE: 104.02017.</t>
  </si>
  <si>
    <t>WRECK AND REMOVE DETACHED FRAME GARAGE, NO REPLACEMENT. LOCATIONS: 0 RESIDENTIAL UNIT(S), 0 NON-RESIDENTIAL UNIT(S), EXTERIOR WORK, DEMO   WRECK EXISTING RESIDELTIAL TWO CAR GARAGE.</t>
  </si>
  <si>
    <t>INSTALL SOLAR PANELS ON ROOF OF PRINCIPAL BUILDING. ROOF TYPE: SLOPED (2:12 TO 5:12). INVERTER OUTPUT: 11.5 KW. ARRAY OUTPUT: 6.63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B200435277.* ALL EQUIPMENT, CONNECTORS, RACEWAYS, TAPS, MUST BE LISTED AND LABELED FOR USE.</t>
  </si>
  <si>
    <t>TUCKPOINTING AND UNIT MASONRY REPAIR / REPLACEMENT: 150 SQ. FT., LINTEL QTY. 0, MAX. LENGTH 0. LOCATION: FRONT/WEST ELEVATION.</t>
  </si>
  <si>
    <t>LINE VOLTAGE ELECTRICAL WORK. NEW PERMANENT 200 AMP SERVICE DISCONNECTING MEANS WITH 1 CIRCUITS. RECEPTACLE OUTLETS: 1 . LIGHTING OUTLETS: 0. 13.5 KWH LITHIUM ION ENERGY STORAGE SYSTEM. SPECIFIC LOCATION: EXTERIOR WALL.</t>
  </si>
  <si>
    <t>TUCKPOINTING AND UNIT MASONRY REPAIR / REPLACEMENT: 50 SQ. FT., LINTEL QTY. 0, MAX. LENGTH 0. LOCATION: SOUTH ELEVATION.</t>
  </si>
  <si>
    <t>REPAIR OR IN-KIND REPLACEMENT OF 2 PLUMBING FIXTURES AS DESCRIBED IN PERMIT APPLICATION.  LOCATIONS: 1 RESIDENTIAL UNIT(S), 0 NON-RESIDENTIAL UNIT(S), 1ST FLOOR.</t>
  </si>
  <si>
    <t>LINE VOLTAGE ELECTRICAL WORK. NEW PERMANENT 100 AMP SERVICE DISCONNECTING MEANS WITH 1 CIRCUITS. RECEPTACLE OUTLETS: 1 . LIGHTING OUTLETS: 0. 13.5 KWH LITHIUM ION ENERGY STORAGE SYSTEM. SPECIFIC LOCATION: EXTERIOR WALL.</t>
  </si>
  <si>
    <t>SCOPE: ROOF REPLACEMENT. AREA: 29 SQ. FT. ROOF COVERING: ASPHALT SHINGLES. LOCATION: HOUSE AND GARAGE. IL ROOFING CONTRACTOR LICENSE: 104.01899.</t>
  </si>
  <si>
    <t>INSTALL SOLAR PANELS ON ROOF OF PRINCIPAL BUILDING. ROOF TYPE: SLOPED (2:12 TO 5:12). INVERTER OUTPUT: 3.8 KW. ARRAY OUTPUT: 5.265 KW.   INCLUDES 10 KWH ENERGY STORAGE SYSTEM.  LOCATION: ROOF OF HOUSE. ICC DISTRIBUTED GENERATION INSTALLER CERT. #19-0021. | SPECIAL CONDITION: * NEC REFERENCES TO BE OMITTED FROM DRAWINGS, ALL GENERAL ELECTRICAL NOTES SHALL REFERENCE CEC 2018.* ALL EQUIPMENT, CONNECTORS, RACEWAYS, TAPS, MUST BE LISTED AND LABELED FOR USE.</t>
  </si>
  <si>
    <t>IN-KIND REPLACEMENT OF EXTERIOR WINDOWS AND DOORS IN EXISTING OPENINGS. REPLACEMENT WINDOWS: 3; REPLACEMENT SKYLIGHTS: 0; REPLACEMENT DOORS: 0. AFFECTS: 1 RESIDENTIAL UNIT(S), 0 NON-RESIDENTIAL UNIT(S), LOCATION: SECOND FLOOR BEDROOM.</t>
  </si>
  <si>
    <t>NEW DETACHED WOOD FRAME GARAGE. DIMENSIONS AND SETBACKS PER APPLICATION. BUILDING OUTSIDE DIMENSIONS: 24'-0' ' X24'-0' '. GABLE ROOF HEIGHT TO PEAK: 13'-0' '.</t>
  </si>
  <si>
    <t>SCOPE: ROOF RECOVER. AREA: 4000 SQ. FT. ROOF COVERING: BUILT-UP ROOF. LOCATION: EXTERIOR ROOF. IL ROOFING CONTRACTOR LICENSE: 104019418.</t>
  </si>
  <si>
    <t>SCOPE: ROOF RECOVER. AREA: 7500 SQ. FT. INCLUDES REPAIR/REPLACE OCCUPIABLE ROOF. ROOF COVERING: OTHER. LOCATION: ON THE ROOF. IL ROOFING CONTRACTOR LICENSE: 104003070.</t>
  </si>
  <si>
    <t>LINE VOLTAGE ELECTRICAL WORK. NEW PERMANENT 200 AMP SERVICE DISCONNECTING MEANS WITH 2 CIRCUITS. RECEPTACLE OUTLETS: 1 . LIGHTING OUTLETS: 0. SPECIFIC LOCATION: ROOFTOP PRINCIPLE/ACCESSORY STRUCTURE.</t>
  </si>
  <si>
    <t>TUCKPOINTING AND UNIT MASONRY REPAIR / REPLACEMENT: 50 SQ. FT., LINTEL QTY. 0, MAX. LENGTH 0. LOCATION: EXTERIOR MASONRY.</t>
  </si>
  <si>
    <t>TUCKPOINTING AND UNIT MASONRY REPAIR / REPLACEMENT: 1000 SQ. FT., LINTEL QTY. 5, MAX. LENGTH 11. PARAPET REBUILDING: 100 SQ. FT. LOCATION: FRONT FACADE, NORTH, SOUTH, EAST, WEST ELEVATIONS.</t>
  </si>
  <si>
    <t>LOW VOLTAGE/COMMUNICATION ELECTRICAL WORK. INSTALL TELEPHONE. SPECIFIC LOCATION: 7TH FLOOR.</t>
  </si>
  <si>
    <t>LOW VOLTAGE/COMMUNICATION ELECTRICAL WORK. ALTER EXISTING DATA/VIDEO. SPECIFIC LOCATION: NETWORK CABLING.</t>
  </si>
  <si>
    <t>LINE VOLTAGE ELECTRICAL WORK. REPAIR OR ALTER DEVICES ON EXISTING CIRCUITS. RECEPTACLE OUTLETS: 10 . LIGHTING OUTLETS: 0. SPECIFIC LOCATION: FIRST FLOOR AND BASEMENT.</t>
  </si>
  <si>
    <t>IN-KIND REPLACEMENT OF EXTERIOR WINDOWS AND DOORS IN EXISTING OPENINGS. REPLACEMENT WINDOWS: 14; REPLACEMENT SKYLIGHTS: 0; REPLACEMENT DOORS: 3. AFFECTS: 1 RESIDENTIAL UNIT(S), 0 NON-RESIDENTIAL UNIT(S), LOCATION: FRONT AND REAR.</t>
  </si>
  <si>
    <t>LINE VOLTAGE ELECTRICAL WORK. NEW PERMANENT 100 AMP SERVICE DISCONNECTING MEANS WITH 24 CIRCUITS. RECEPTACLE OUTLETS: 10 . LIGHTING OUTLETS: 0. SPECIFIC LOCATION: 1ST FLOOR KITCHEN.</t>
  </si>
  <si>
    <t>PURPOSE: NEW/REPLACEMENT INSTALLATION. WOOD FENCE - 6'-0' ' (HEIGHT) X 3'-0' ' (LENGTH). LOCATION: EAST SIDE OF THE PROPERTY.</t>
  </si>
  <si>
    <t>SCOPE: NONSTRUCTURAL INTERIOR ALTERATION TO SFR, REMOVE PLASTER AND LATH AND REPLACE WITH DRYWALL  AT WALLS AMD CEILINGS; REMOVE BASEMENT PARTITIONS FORMING ROOMS AND CABINETS; REPLACE PLUMBING PIPING AND PLUMBING FIXTURES, INSTALL NEW ELECTRICAL THROUOUT, MODIFY DUCTWORK IN ATTIC..LOCATIONS: 1 RESIDENTIAL UNIT(S), 0 NON-RESIDENTIAL UNIT(S), BASEMENT, FIRST FLOOR, ATTIC.</t>
  </si>
  <si>
    <t>LOW VOLTAGE/COMMUNICATION ELECTRICAL WORK. INSTALL TELEPHONE. SPECIFIC LOCATION: 1ST AND 2ND FLOORS. | SPECIAL CONDITION: NO OTHER WORK.</t>
  </si>
  <si>
    <t>LOW VOLTAGE/COMMUNICATION ELECTRICAL WORK. ALTER EXISTING DATA/VIDEO. SPECIFIC LOCATION: 2ND FLOOR. | SPECIAL CONDITION: NO OTHER WORK</t>
  </si>
  <si>
    <t>LOW VOLTAGE/COMMUNICATION ELECTRICAL WORK. INSTALL AUDIO. INSTALL DATA/VIDEO. INSTALL SECURITY. SPECIFIC LOCATION: GROUND FLOOR COMMERCIAL SUITE.</t>
  </si>
  <si>
    <t>LINE VOLTAGE ELECTRICAL WORK. ALTER EXISTING SYSTEM III EMERGENCY LIGHTING.  RECEPTACLE OUTLETS: 0 . LIGHTING OUTLETS: 0. SPECIFIC LOCATION: 1ST FLOOR RESTAURANT.</t>
  </si>
  <si>
    <t>INSTALL SOLAR PANELS ON ROOF OF PRINCIPAL BUILDING. ROOF TYPE: SLOPED (2:12 TO 5:12). INVERTER OUTPUT: 10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B200435340 AND ELECTRICAL PERMIT B200435261.*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</si>
  <si>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B200435339 AND ELECTRICAL PERMIT B200435261.*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</si>
  <si>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B200434184.* ALL EQUIPMENT, CONNECTORS, RACEWAYS, TAPS, MUST BE LISTED AND LABELED FOR USE.</t>
  </si>
  <si>
    <t>LINE VOLTAGE ELECTRICAL WORK. REPAIR OR ALTER DEVICES ON EXISTING CIRCUITS. RECEPTACLE OUTLETS: 143 . LIGHTING OUTLETS: 0. SPECIFIC LOCATION: 5TH FLOOR.</t>
  </si>
  <si>
    <t>LINE VOLTAGE ELECTRICAL WORK. NEW PERMANENT 100 AMP SERVICE DISCONNECTING MEANS WITH 1 CIRCUITS. RECEPTACLE OUTLETS: 1 . LIGHTING OUTLETS: 1. SPECIFIC LOCATION: INSIDE BASEMENT, SOUTH WALL..</t>
  </si>
  <si>
    <t>SCOPE: ROOF REPLACEMENT. AREA: 1800 SQ. FT. ROOF COVERING: ASPHALT SHINGLES. LOCATION: ROOF OF HOUSE. IL ROOFING CONTRACTOR LICENSE: 104020496.</t>
  </si>
  <si>
    <t>LINE VOLTAGE ELECTRICAL WORK. NEW PERMANENT 200 AMP SERVICE DISCONNECTING MEANS WITH 28 CIRCUITS. RECEPTACLE OUTLETS: 80 . LIGHTING OUTLETS: 28. SPECIFIC LOCATION: ENTIRE BUILDING. | SPECIAL CONDITION: NO OTHER WORK</t>
  </si>
  <si>
    <t>CONCRETE MASONRY REPAIR / REPLACEMNT: 200SQ. FT., EXCAVATION = NO. LOCATION: PARKING GARAGE LEVEL 2,4,5,6.</t>
  </si>
  <si>
    <t>REPAIR OR IN-KIND REPLACEMENT OF 7 PLUMBING FIXTURES AS DESCRIBED IN PERMIT APPLICATION.  INCLUDES REPAIR OR REPLACMENT OF PLUMBING PIPING.  LOCATIONS: 1 RESIDENTIAL UNIT(S), 0 NON-RESIDENTIAL UNIT(S), 2 INTERIOR COMMON AREAS, KITCHEN AND BATHROOM. | SPECIAL CONDITION: NO EXTERIOR WORK TO OCCUR WITH THIS APPROVAL.</t>
  </si>
  <si>
    <t>SCOPE: ROOF RECOVER. AREA: 1600 SQ. FT. ROOF COVERING: ASPHALT SHINGLES. LOCATION: ROOF RECOVER. IL ROOFING CONTRACTOR LICENSE: 104017132.</t>
  </si>
  <si>
    <t>LINE VOLTAGE ELECTRICAL WORK. REPAIR OR ALTER DEVICES ON EXISTING CIRCUITS. RECEPTACLE OUTLETS: 1 . LIGHTING OUTLETS: 0. SPECIFIC LOCATION: FIRE PUMP ROOM.</t>
  </si>
  <si>
    <t>PURPOSE: LEGALIZE UNPERMITTED WORK. WOOD FENCE - 6'-0' ' (HEIGHT) X 104'-0' ' (LENGTH). LOCATION: FENCE.</t>
  </si>
  <si>
    <t>LINE VOLTAGE ELECTRICAL WORK. NEW PERMANENT 200 AMP SERVICE DISCONNECTING MEANS WITH 10 CIRCUITS. RECEPTACLE OUTLETS: 26 . LIGHTING OUTLETS: 14. SPECIFIC LOCATION: ENTIRE HOUSE.</t>
  </si>
  <si>
    <t>LINE VOLTAGE ELECTRICAL WORK. NEW PERMANENT 300 AMP SERVICE DISCONNECTING MEANS WITH 22 CIRCUITS. RECEPTACLE OUTLETS: 1 . LIGHTING OUTLETS: 1. ELECTRIC VEHICLE SUPPLY EQUIPMENT:1 SPACES. SPECIFIC LOCATION: DETACHED GARAGE; BASEMENT OF HOUSE.</t>
  </si>
  <si>
    <t>FULL REBUILD (SAME AS EXISTING) FOR WOOD PORCH (OPEN) (QUANTITY: 1, LOCATION: REAR OF BUILDING).</t>
  </si>
  <si>
    <t>TUCKPOINTING AND UNIT MASONRY REPAIR / REPLACEMENT: 25 SQ. FT., LINTEL QTY. 3, MAX. LENGTH 4. LOCATION: OUTSIDE.</t>
  </si>
  <si>
    <t>SCOPE: ROOF REPLACEMENT. AREA: 14 SQ. FT. ROOF COVERING: ASPHALT SHINGLES. LOCATION: OUTSIDE ROOF. IL ROOFING CONTRACTOR LICENSE: 104017806.</t>
  </si>
  <si>
    <t>PURPOSE: LEGALIZE UNPERMITTED WORK. WOOD FENCE - 6'-0' ' (HEIGHT) X 21'-0' ' (LENGTH). LOCATION: BACKYARD.</t>
  </si>
  <si>
    <t>INSTALL SOLAR PANELS ON ROOF OF PRINCIPAL BUILDING. ROOF TYPE: LOW-SLOPED (&lt;2:12). INVERTER OUTPUT: 10 KW. ARRAY OUTPUT: 7.38 KW.   INCLUDES 10 KWH ENERGY STORAGE SYSTEM.  LOCATION: ROOF OF HOUSE. ICC DISTRIBUTED GENERATION INSTALLER CERT. #19-0021. | SPECIAL CONDITION: * NEC REFERENCES TO BE OMITTED FROM DRAWINGS, ALL GENERAL ELECTRICAL NOTES SHALL REFERENCE CEC 2018. * REFER TO SOLAR (ACCESSORY) PERMIT B200435398.* UNDERGROUND RACEWAY TO BE INSPECTED BY AHJ PRIOR TO COVERING. * ALL EQUIPMENT, CONNECTORS, RACEWAYS, TAPS, MUST BE LISTED AND LABELED FOR USE.</t>
  </si>
  <si>
    <t>TUCKPOINTING AND UNIT MASONRY REPAIR / REPLACEMENT: 400 SQ. FT., LINTEL QTY. 0, MAX. LENGTH 0. LOCATION: EXTERIOR MASONRY WALL ON SOUTH AND NORTH SIDES.</t>
  </si>
  <si>
    <t>INSTALL SOLAR PANELS ON ROOF OF ACCESSORY BUILDING. ROOF TYPE: LOW-SLOPED (&lt;2:12). INVERTER OUTPUT: 10 KW. ARRAY OUTPUT: 4.1 KW.  LOCATION: ROOF OF GARAGE. ICC DISTRIBUTED GENERATION INSTALLER CERT. #19-0021. | SPECIAL CONDITION: * NEC REFERENCES TO BE OMITTED FROM DRAWINGS, ALL GENERAL ELECTRICAL NOTES SHALL REFERENCE CEC 2018. * REFER TO SOLAR (PRINCIPAL) PERMIT B200435395.* UNDERGROUND RACEWAY TO BE INSPECTED BY AHJ PRIOR TO COVERING. * ALL EQUIPMENT, CONNECTORS, RACEWAYS, TAPS, MUST BE LISTED AND LABELED FOR USE.</t>
  </si>
  <si>
    <t>SCOPE: ROOF REPLACEMENT. AREA: 1492 SQ. FT. ROOF COVERING: ASPHALT SHINGLES. LOCATION: ROOFING EXTERIOR. IL ROOFING CONTRACTOR LICENSE: 104.01959.</t>
  </si>
  <si>
    <t>WRECK AND REMOVE DETACHED FRAME GARAGE, NO REPLACEMENT. LOCATIONS: 1 RESIDENTIAL UNIT(S), 0 NON-RESIDENTIAL UNIT(S), EXTERIOR WORK, DETACHED GARAGE DEMOLITION - NO REPLACEMENT.</t>
  </si>
  <si>
    <t>REPAIR OR IN-KIND REPLACEMENT OF 6 PLUMBING FIXTURES AS DESCRIBED IN PERMIT APPLICATION.  INCLUDES REPAIR OR REPLACMENT OF PLUMBING PIPING.  LOCATIONS: 2 RESIDENTIAL UNIT(S), 0 NON-RESIDENTIAL UNIT(S), BATHROOMS.</t>
  </si>
  <si>
    <t>SCOPE: NONSTRUCTURAL INTERIOR ALTERATION TO CONVERT EXISTING OFFICES TO ONE LARGE WORK AREA WITHIN EXISTING OFFICE SUITE; INCLUDES ASSOCIATED ELECTRICAL AND MECHANICAL WORK. LOCATIONS: 0 RESIDENTIAL UNIT(S), 1 NON-RESIDENTIAL UNIT(S), SUITE 1650.</t>
  </si>
  <si>
    <t>INSTALL SOLAR PANELS ON ROOF OF PRINCIPAL BUILDING. ROOF TYPE: SLOPED (2:12 TO 5:12). INVERTER OUTPUT: 0.32 KW. ARRAY OUTPUT: 0.01144 KW.  LOCATION: ROOFTOP. ICC DISTRIBUTED GENERATION INSTALLER CERT. #24-0198.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</si>
  <si>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TUCKPOINTING AND UNIT MASONRY REPAIR / REPLACEMENT: 6000 SQ. FT., LINTEL QTY. 4, MAX. LENGTH 4. PARAPET REBUILDING: 300 SQ. FT. LOCATION: EXTERIOR MASONRY ABOVE GRADE LEVEL.</t>
  </si>
  <si>
    <t>REPLACE EXTERIOR SIDING WITH CLADDING. LOCATIONS: 0 RESIDENTIAL UNIT(S), 0 NON-RESIDENTIAL UNIT(S), EXTERIOR WORK, EXTERIOR CLADDING.</t>
  </si>
  <si>
    <t>LINE VOLTAGE ELECTRICAL WORK. NEW PERMANENT 100 AMP SERVICE DISCONNECTING MEANS WITH 1 CIRCUITS. RECEPTACLE OUTLETS: 1 . LIGHTING OUTLETS: 0. SPECIFIC LOCATION: BASEMENT AND EXTERIOR.</t>
  </si>
  <si>
    <t>LINE VOLTAGE ELECTRICAL WORK. REPAIR OR ALTER DEVICES ON EXISTING CIRCUITS. RECEPTACLE OUTLETS: 78 . LIGHTING OUTLETS: 0. SPECIFIC LOCATION: 27TH FLOOR.</t>
  </si>
  <si>
    <t>LINE VOLTAGE ELECTRICAL WORK. ADD 6 CIRCUITS TO EXISTING 208 AMP SERVICE DISCONNECTING MEANS. RECEPTACLE OUTLETS: 4 . LIGHTING OUTLETS: 6. SPECIFIC LOCATION: 14THE FLOOR OFFICE - MEETING ROOM 14401.</t>
  </si>
  <si>
    <t>SCOPE: NONSTRUCTURAL INTERIOR ALTERATION TO KITCHEN, REMOVE PARTITION, REWORK ELECTRICAL, PATCH SOFFIT AND WALL, REPLACE PLUMBING FIXTURES. LOCATIONS: 1 RESIDENTIAL UNIT(S), 0 NON-RESIDENTIAL UNIT(S), CONDO UNIT 2701.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</si>
  <si>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B200435354.* ALL EQUIPMENT, CONNECTORS, RACEWAYS, TAPS, MUST BE LISTED AND LABELED FOR USE.</t>
  </si>
  <si>
    <t>SCOPE: ROOF REPLACEMENT. AREA: 1200 SQ. FT. ROOF COVERING: ASPHALT SHINGLES. LOCATION: ROOFING. IL ROOFING CONTRACTOR LICENSE: 104019083.</t>
  </si>
  <si>
    <t>LINE VOLTAGE ELECTRICAL WORK. REPAIR OR ALTER DEVICES ON EXISTING CIRCUITS. RECEPTACLE OUTLETS: 4 . LIGHTING OUTLETS: 15. SPECIFIC LOCATION: SALES AREA.</t>
  </si>
  <si>
    <t>LOW VOLTAGE/COMMUNICATION ELECTRICAL WORK. INSTALL OTHER. SPECIFIC LOCATION: 7TH FLOOR IT CLOSET.</t>
  </si>
  <si>
    <t>NEW HEAT PUMP OR REFRIGERATION EQUIP., ELECTRICAL WORK UNDER THIS PERMIT = NO . LOCATIONS: 0 RESIDENTIAL UNIT(S), 1 NON-RESIDENTIAL UNIT(S),  CHILLER.</t>
  </si>
  <si>
    <t>REPAIR OR IN-KIND REPLACEMENT OF 1 PLUMBING FIXTURES AS DESCRIBED IN PERMIT APPLICATION.  INCLUDES REPAIR OR REPLACMENT OF PLUMBING PIPING.  LOCATIONS: 0 RESIDENTIAL UNIT(S), 1 NON-RESIDENTIAL UNIT(S), EXISITNG TOILET ROOM.</t>
  </si>
  <si>
    <t>NEW DETACHED WOOD FRAME GARAGE. DIMENSIONS AND SETBACKS PER APPLICATION. BUILDING OUTSIDE DIMENSIONS: 22'-0' ' X22'-0' '. HIP ROOF HEIGHT TO PEAK: 14'-0' '.</t>
  </si>
  <si>
    <t>LOW VOLTAGE/COMMUNICATION ELECTRICAL WORK. INSTALL DATA/VIDEO. SPECIFIC LOCATION: LOWER LEVEL.</t>
  </si>
  <si>
    <t>PURPOSE: NEW/REPLACEMENT INSTALLATION. VINYL/PVC FENCE - 6'-0' ' (HEIGHT) X 72'-0' ' (LENGTH). LOCATION: WESTERN SIDE OF THE PROPERTY.</t>
  </si>
  <si>
    <t>NEW DETACHED WOOD FRAME GARAGE. DIMENSIONS AND SETBACKS PER APPLICATION. BUILDING OUTSIDE DIMENSIONS: 20'-0' ' X20'-0' '. HIP ROOF HEIGHT TO PEAK: 13'-0' '.</t>
  </si>
  <si>
    <t>NEW DETACHED WOOD FRAME GARAGE. DIMENSIONS AND SETBACKS PER APPLICATION. BUILDING OUTSIDE DIMENSIONS: 22'-0' ' X20'-0' '. HIP ROOF HEIGHT TO PEAK: 14'-0' '.</t>
  </si>
  <si>
    <t>NEW DETACHED WOOD FRAME GARAGE. DIMENSIONS AND SETBACKS PER APPLICATION. BUILDING OUTSIDE DIMENSIONS: 22'-0' ' X22'-0' '. HIP ROOF HEIGHT TO PEAK: 13'-0' '.</t>
  </si>
  <si>
    <t>NEW DETACHED WOOD FRAME GARAGE. DIMENSIONS AND SETBACKS PER APPLICATION. BUILDING OUTSIDE DIMENSIONS: 24'-0' ' X24'-0' '. HIP ROOF HEIGHT TO PEAK: 13'-0' '.</t>
  </si>
  <si>
    <t>LINE VOLTAGE ELECTRICAL WORK. REPAIR OR ALTER DEVICES ON EXISTING CIRCUITS. RECEPTACLE OUTLETS: 1 . LIGHTING OUTLETS: 1. SPECIFIC LOCATION: HILTON CHICAGO&amp; TOWERS.</t>
  </si>
  <si>
    <t>LOW VOLTAGE/COMMUNICATION ELECTRICAL WORK. INSTALL DATA/VIDEO. SPECIFIC LOCATION: 6TH AND 7TH FLOOR.</t>
  </si>
  <si>
    <t>LINE VOLTAGE ELECTRICAL WORK. NEW TEMPORARY 200 AMP SERVICE DISCONNECTING MEANS WITH 26 CIRCUITS. RECEPTACLE OUTLETS: 1 . LIGHTING OUTLETS: 0. SPECIFIC LOCATION: UNIT 1, UNIT 2, BASEMENT.</t>
  </si>
  <si>
    <t>INSTALL SOLAR PANELS ON ROOF OF PRINCIPAL BUILDING. ROOF TYPE: SLOPED (2:12 TO 5:12). INVERTER OUTPUT: 7.608 KW. ARRAY OUTPUT: 0.01066 KW.  LOCATION: ROOF SOLAR.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</si>
  <si>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REPAIR OR IN-KIND REPLACEMENT OF 7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1ST FLOOR AND 2ND FLOOR.</t>
  </si>
  <si>
    <t>TUCKPOINTING AND UNIT MASONRY REPAIR / REPLACEMENT: 200 SQ. FT., LINTEL QTY. 0, MAX. LENGTH 0. LOCATION: BACK FACADE.</t>
  </si>
  <si>
    <t>TUCKPOINTING AND UNIT MASONRY REPAIR / REPLACEMENT: 300 SQ. FT., LINTEL QTY. 0, MAX. LENGTH 0. PARAPET REBUILDING: 200 SQ. FT. LOCATION: FRONT FACADE, SOUTH ELEVATION.</t>
  </si>
  <si>
    <t>SCOPE: NONSTRUCTURAL INTERIOR WORK: REPAIR/REPLACE DRYWALL. ENGINEERED WOOD FLOORING REPLACEMENT. LOCATIONS: 1 RESIDENTIAL UNIT(S), 0 NON-RESIDENTIAL UNIT(S), WATER DAMAGE REPAIRS TO UNIT 901.</t>
  </si>
  <si>
    <t>SCOPE: ROOF REPLACEMENT. AREA: 12800 SQ. FT. ROOF COVERING: OTHER. LOCATION: ROOF TOP. IL ROOFING CONTRACTOR LICENSE: 104007295.</t>
  </si>
  <si>
    <t>LINE VOLTAGE ELECTRICAL WORK. REPAIR OR ALTER DEVICES ON EXISTING CIRCUITS. RECEPTACLE OUTLETS: 3 . LIGHTING OUTLETS: 7. SPECIFIC LOCATION: KITCHEN, LIVING ROOM, BEDROOMS, BATHROOMS. | SPECIAL CONDITION: NO OTHER WORK</t>
  </si>
  <si>
    <t>LINE VOLTAGE ELECTRICAL WORK. NEW PERMANENT 200 AMP SERVICE DISCONNECTING MEANS WITH 1 CIRCUITS. RECEPTACLE OUTLETS: 1 . LIGHTING OUTLETS: 1. SPECIFIC LOCATION: BASEMENT,REAR EXTERIOR.</t>
  </si>
  <si>
    <t>LOW VOLTAGE/COMMUNICATION ELECTRICAL WORK. INSTALL AUDIO. SPECIFIC LOCATION: UNIT LL100.</t>
  </si>
  <si>
    <t>INSTALL SOLAR PANELS ON ROOF OF PRINCIPAL BUILDING. ROOF TYPE: STEEP (&gt;5:12). INVERTER OUTPUT: 5.85 KW. ARRAY OUTPUT: 7.65 KW.  LOCATION: ROOF OF PRINCIPAL BUILDING AND DETACHED GARAGE. ICC DISTRIBUTED GENERATION INSTALLER CERT. #24-0450. | SPECIAL CONDITION: * NEC REFERENCES TO BE OMITTED FROM DRAWINGS, ALL GENERAL ELECTRICAL NOTES SHALL REFERENCE CEC 2018. * REFER TO SOLAR (ACCESSORY) PERMIT B200435681.* UNDERGROUND RACEWAY TO BE INSPECTED BY AHJ PRIOR TO COVERING. * ALL EQUIPMENT, CONNECTORS, RACEWAYS, TAPS, ETC... MUST BE LISTED AND LABELED FOR USE.</t>
  </si>
  <si>
    <t>TUCKPOINTING AND UNIT MASONRY REPAIR / REPLACEMENT: 400 SQ. FT., LINTEL QTY. 0, MAX. LENGTH 0. LOCATION: EXTERIOR WALLS /MASONRY.</t>
  </si>
  <si>
    <t>TUCKPOINTING AND UNIT MASONRY REPAIR / REPLACEMENT: 200 SQ. FT., LINTEL QTY. 0, MAX. LENGTH 0. LOCATION: NORTH WALL OF BULDING AND THE CHEMNEY.</t>
  </si>
  <si>
    <t>LINE VOLTAGE ELECTRICAL WORK. REPAIR OR ALTER DEVICES ON EXISTING CIRCUITS. RECEPTACLE OUTLETS: 2 . LIGHTING OUTLETS: 1. SPECIFIC LOCATION: KITCHEN.</t>
  </si>
  <si>
    <t>LINE VOLTAGE ELECTRICAL WORK. REPAIR OR ALTER DEVICES ON EXISTING CIRCUITS. RECEPTACLE OUTLETS: 2 . LIGHTING OUTLETS: 0. SPECIFIC LOCATION: KITCHEN, UNIT 6E.</t>
  </si>
  <si>
    <t>TUCKPOINTING AND UNIT MASONRY REPAIR / REPLACEMENT: 1500 SQ. FT., LINTEL QTY. 3, MAX. LENGTH 5. LOCATION: FRONT.</t>
  </si>
  <si>
    <t>LOW VOLTAGE/COMMUNICATION ELECTRICAL WORK. INSTALL OTHER. SPECIFIC LOCATION: 46TH FLOOR.</t>
  </si>
  <si>
    <t>SCOPE: ROOF REPAIR. AREA: 300 SQ. FT. ROOF COVERING: OTHER. LOCATION: SOUTH WEST VALLEY AREA.. IL ROOFING CONTRACTOR LICENSE: 104015740.</t>
  </si>
  <si>
    <t>LINE VOLTAGE ELECTRICAL WORK. NEW TEMPORARY 60 AMP SERVICE DISCONNECTING MEANS WITH 2 CIRCUITS. RECEPTACLE OUTLETS: 2 . LIGHTING OUTLETS: 0. SPECIFIC LOCATION: TEMPORARY SERVICE IN BACKYARD.</t>
  </si>
  <si>
    <t>LIMITED REPAIR (25% OR LESS) FOR WOOD PORCH (OPEN) (QUANTITY: 1, LOCATION: FRONT OF BUILDING).  LANDING: 90 SQUARE FEET.  LANDING NOT MORE THAN 6 FEET ABOVE GROUND. ACCESSORY BUILDING.</t>
  </si>
  <si>
    <t>LINE VOLTAGE ELECTRICAL WORK. REPAIR OR ALTER DEVICES ON EXISTING CIRCUITS. RECEPTACLE OUTLETS: 45 . LIGHTING OUTLETS: 12. SPECIFIC LOCATION: FIRST , SECOND AND THIRD FLOOR.</t>
  </si>
  <si>
    <t>IN-KIND REPLACEMENT OF EXTERIOR WINDOWS AND DOORS IN EXISTING OPENINGS. REPLACEMENT WINDOWS: 5; REPLACEMENT SKYLIGHTS: 0; REPLACEMENT DOORS: 2. AFFECTS: 1 RESIDENTIAL UNIT(S), 0 NON-RESIDENTIAL UNIT(S), LOCATION: 1ST FLOOR EXTERIOR DOORS, 2ND FLOOR WINDOWS.</t>
  </si>
  <si>
    <t>IN-KIND REPLACEMENT OF EXTERIOR WINDOWS AND DOORS IN EXISTING OPENINGS. REPLACEMENT WINDOWS: 18; REPLACEMENT SKYLIGHTS: 0; REPLACEMENT DOORS: 1. AFFECTS: 1 RESIDENTIAL UNIT(S), 0 NON-RESIDENTIAL UNIT(S), LOCATION: DOORS AND WINDOWS.</t>
  </si>
  <si>
    <t>NEW DETACHED WOOD FRAME GARAGE. DIMENSIONS AND SETBACKS PER APPLICATION. BUILDING OUTSIDE DIMENSIONS: 30'-0' ' X19'-0' '. GABLE ROOF HEIGHT TO PEAK: 15'-0' '.</t>
  </si>
  <si>
    <t>REPAIR OR IN-KIND REPLACEMENT OF 4 PLUMBING FIXTURES AS DESCRIBED IN PERMIT APPLICATION.  INCLUDES REPAIR OR REPLACMENT OF PLUMBING PIPING.  LOCATIONS: 1 RESIDENTIAL UNIT(S), 0 NON-RESIDENTIAL UNIT(S), 2ND.FL. MASTER BATH - PLUMBING WORK.</t>
  </si>
  <si>
    <t>LINE VOLTAGE ELECTRICAL WORK. NEW PERMANENT 200 AMP SERVICE DISCONNECTING MEANS WITH 42 CIRCUITS. RECEPTACLE OUTLETS: 1 . LIGHTING OUTLETS: 1. SPECIFIC LOCATION: TENANT BUILD-OUT.</t>
  </si>
  <si>
    <t>LOW VOLTAGE/COMMUNICATION ELECTRICAL WORK. INSTALL DATA/VIDEO. SPECIFIC LOCATION: INTERIOR BUILD-OUT.</t>
  </si>
  <si>
    <t>SCOPE: ROOF REPLACEMENT. AREA: 1330 SQ. FT. ROOF COVERING: MINERAL - SURFACED ROLL ROOFING. LOCATION: UNIT B. IL ROOFING CONTRACTOR LICENSE: 104019815.</t>
  </si>
  <si>
    <t>SCOPE: ROOF RECOVER. AREA: 3300 SQ. FT. ROOF COVERING: MINERAL - SURFACED ROLL ROOFING. LOCATION: ROOF WORK. IL ROOFING CONTRACTOR LICENSE: 104004960.</t>
  </si>
  <si>
    <t>INSTALL SOLAR PANELS ON ROOF OF PRINCIPAL BUILDING. ROOF TYPE: LOW-SLOPED (&lt;2:12). INVERTER OUTPUT: 7.6 KW. ARRAY OUTPUT: 8.1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</si>
  <si>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1. SPECIFIC LOCATION: BASEMENT AND REAR.</t>
  </si>
  <si>
    <t>LOW VOLTAGE/COMMUNICATION ELECTRICAL WORK. INSTALL SECURITY. SPECIFIC LOCATION: 7TH FLOOR IN THE AMENITY AREA. | SPECIAL CONDITION: NO OTHER WORK</t>
  </si>
  <si>
    <t>IN-KIND REPLACEMENT OF EXTERIOR WINDOWS AND DOORS IN EXISTING OPENINGS. REPLACEMENT WINDOWS: 10; REPLACEMENT SKYLIGHTS: 0; REPLACEMENT DOORS: 2. AFFECTS: 1 RESIDENTIAL UNIT(S), 0 NON-RESIDENTIAL UNIT(S), LOCATION: EXTERIOR FAÇADE MILLWORK, REPLACING DAMAGE SIDING.</t>
  </si>
  <si>
    <t>FULL REBUILD (SAME AS EXISTING) FOR WOOD PORCH (OPEN) (QUANTITY: 1, LOCATION: REAR OF BUILDING).  LANDING: 21 SQUARE FEET.  LANDING NOT MORE THAN 6 FEET ABOVE GROUND.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</si>
  <si>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</si>
  <si>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NEW TEMPORARY 100 AMP SERVICE DISCONNECTING MEANS WITH 2 CIRCUITS. RECEPTACLE OUTLETS: 1 . LIGHTING OUTLETS: 1. SPECIFIC LOCATION: TEMP SERVICE INSTALLATION.</t>
  </si>
  <si>
    <t>LINE VOLTAGE ELECTRICAL WORK. ADD 1 CIRCUITS TO EXISTING 100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</si>
  <si>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11.5 KW. ARRAY OUTPUT: 1.04351 KW.   INCLUDES 13.5 KWH ENERGY STORAGE SYSTEM.  LOCATION: EXTERIOR REAR EAST AND SOUTH SIDE OF HOME. ICC DISTRIBUTED GENERATION INSTALLER CERT. #18-0853. | SPECIAL CONDITION: * NEC REFERENCES TO BE OMITTED FROM DRAWINGS, ALL GENERAL ELECTRICAL NOTES SHALL REFERENCE CEC 2018. * ALL EQUIPMENT, CONNECTORS, RACEWAYS, TAPS, MUST BE LISTED AND LABELED FOR USE.</t>
  </si>
  <si>
    <t>LINE VOLTAGE ELECTRICAL WORK. ADD 1 CIRCUITS TO EXISTING 100 AMP SERVICE DISCONNECTING MEANS. RECEPTACLE OUTLETS: 1 . LIGHTING OUTLETS: 0. SPECIFIC LOCATION: GARAGE.</t>
  </si>
  <si>
    <t>REPAIR (26% TO 50%) FOR CONCRETE EXTERIOR STAIRWAY (QUANTITY: 1, LOCATION: EAST SIDE OF BUILDING).  LANDING: 67 SQUARE FEET.  LANDING NOT MORE THAN 6 FEET ABOVE GROUND. INCIDENTAL ELECTRICAL WORK UNDER THIS PERMIT. CONCRETE WORK. ROOF: REBUILD. IL ROOFING CONTRACTOR LICENSE #104012900.</t>
  </si>
  <si>
    <t>SCOPE: ROOF REPLACEMENT. AREA: 2975 SQ. FT. ROOF COVERING: ASPHALT SHINGLES. LOCATION: HOUSE AND DETACHED GARAGE TEAR OFF AND RE-ROOF. IL ROOFING CONTRACTOR LICENSE: 104018969.</t>
  </si>
  <si>
    <t>LIMITED REPAIR (25% OR LESS) FOR WOOD PORCH (OPEN) (QUANTITY: 1, LOCATION: REAR OF BUILDING).  LANDING: 24 SQUARE FEET.  LANDING NOT MORE THAN 6 FEET ABOVE GROUND.</t>
  </si>
  <si>
    <t>LINE VOLTAGE ELECTRICAL WORK. ADD 1 CIRCUITS TO EXISTING 125 AMP SERVICE DISCONNECTING MEANS. RECEPTACLE OUTLETS: 1 . LIGHTING OUTLETS: 0. ELECTRIC VEHICLE SUPPLY EQUIPMENT:1 SPACES. SPECIFIC LOCATION: GARAGE.</t>
  </si>
  <si>
    <t>LINE VOLTAGE ELECTRICAL WORK. NEW PERMANENT 200 AMP SERVICE DISCONNECTING MEANS WITH 1 CIRCUITS. RECEPTACLE OUTLETS: 1 . LIGHTING OUTLETS: 0. SPECIFIC LOCATION: EXTERIOR OF BUILDING, BASEMENT.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</si>
  <si>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</si>
  <si>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REPAIR OR IN-KIND REPLACEMENT OF 0 PLUMBING FIXTURES AS DESCRIBED IN PERMIT APPLICATION.  INCLUDES REPAIR OR REPLACMENT OF PLUMBING PIPING.  LOCATIONS: 0 RESIDENTIAL UNIT(S), 0 NON-RESIDENTIAL UNIT(S), 1 INTERIOR COMMON AREAS, PROVIDE FL. DRAIN W/METALIC STRAINER.</t>
  </si>
  <si>
    <t>INSTALL SOLAR PANELS ON ROOF OF PRINCIPAL BUILDING. ROOF TYPE: STEEP (&gt;5:12). INVERTER OUTPUT: 5.12 KW. ARRAY OUTPUT: 6.48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</si>
  <si>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LOCATIONS: 3 RESIDENTIAL UNIT(S), 0 NON-RESIDENTIAL UNIT(S), WORK ON FIRST, 2ND AND 3RD FLOOR. | SPECIAL CONDITION: NO EXTERIOR WORK TO OCCUR WITH THIS APPROVAL.</t>
  </si>
  <si>
    <t>LINE VOLTAGE ELECTRICAL WORK. NEW TEMPORARY 100 AMP SERVICE DISCONNECTING MEANS WITH 20 CIRCUITS. RECEPTACLE OUTLETS: 1 . LIGHTING OUTLETS: 1. SPECIFIC LOCATION: TEMP SERVICE.</t>
  </si>
  <si>
    <t>LINE VOLTAGE ELECTRICAL WORK. NEW PERMANENT 225 AMP SERVICE DISCONNECTING MEANS WITH 1 CIRCUITS. RECEPTACLE OUTLETS: 1 . LIGHTING OUTLETS: 0. 13.5 KWH LITHIUM ION ENERGY STORAGE SYSTEM. SPECIFIC LOCATION: EXTERIOR WALL, SERVICE CONDUCTORS, METER, PANEL.</t>
  </si>
  <si>
    <t>TUCKPOINTING AND UNIT MASONRY REPAIR / REPLACEMENT: 500 SQ. FT., LINTEL QTY. 0, MAX. LENGTH 0. LOCATION: EXTERIOR FACADE - SOUTH ELEVATION.</t>
  </si>
  <si>
    <t>LIMITED REPAIR (25% OR LESS) FOR WOOD PORCH (OPEN) (QUANTITY: 1, LOCATION: REAR OF BUILDING).  LANDING: 140 SQUARE FEET.  LANDING NOT MORE THAN 6 FEET ABOVE GROUND.</t>
  </si>
  <si>
    <t>REPAIR OR IN-KIND REPLACEMENT OF 0 PLUMBING FIXTURES AS DESCRIBED IN PERMIT APPLICATION.  REPAIR OR IN-KIND REPLACEMENT OF HOT WATER HEATER(S).  INCLUDES REPAIR OR REPLACMENT OF PLUMBING PIPING.  LOCATIONS: 0 RESIDENTIAL UNIT(S), 1 NON-RESIDENTIAL UNIT(S), 1 INTERIOR COMMON AREAS, BASEMENT. | SPECIAL CONDITION: NO EXTERIOR WORK</t>
  </si>
  <si>
    <t>NEW DETACHED WOOD FRAME GARAGE. DIMENSIONS AND SETBACKS PER APPLICATION. BUILDING OUTSIDE DIMENSIONS: 20'-0' ' X18'-0' '. GABLE ROOF HEIGHT TO PEAK: 12'-0' '.</t>
  </si>
  <si>
    <t>NEW DETACHED WOOD FRAME GARAGE. DIMENSIONS AND SETBACKS PER APPLICATION. BUILDING OUTSIDE DIMENSIONS: 20'-0' ' X20'-0' '. HIP ROOF HEIGHT TO PEAK: 14'-0' '.</t>
  </si>
  <si>
    <t>LINE VOLTAGE ELECTRICAL WORK. REPAIR OR ALTER DEVICES ON EXISTING CIRCUITS. RECEPTACLE OUTLETS: 4 . LIGHTING OUTLETS: 0. SPECIFIC LOCATION: MAINN HALLWAY &amp; GARAGE.</t>
  </si>
  <si>
    <t>LOW VOLTAGE/COMMUNICATION ELECTRICAL WORK. INSTALL DATA/VIDEO. SPECIFIC LOCATION: 10TH FLOOR.</t>
  </si>
  <si>
    <t>INSTALL SOLAR PANELS ON ROOF OF PRINCIPAL BUILDING. ROOF TYPE: SLOPED (2:12 TO 5:12). INVERTER OUTPUT: 4.64 KW. ARRAY OUTPUT: 6.8 KW.  LOCATION: ROOF AND EXTERIOR. ICC DISTRIBUTED GENERATION INSTALLER CERT. #25-0072. | SPECIAL CONDITION: * NEC REFERENCES TO BE OMITTED FROM DRAWINGS, ALL GENERAL ELECTRICAL NOTES SHALL REFERENCE CEC 2018. * ALL EQUIPMENT, CONNECTORS, RACEWAYS, TAPS, ETC... MUST BE LISTED AND LABELED FOR USE.</t>
  </si>
  <si>
    <t>CONCRETE MASONRY REPAIR / REPLACEMNT: 1740SQ. FT., EXCAVATION = NO. LOCATION: EAST ELEVATION, REMOVE AND REPLACE TOPPING SLAB.</t>
  </si>
  <si>
    <t>INSTALL SOLAR PANELS ON ROOF OF ACCESSORY BUILDING. ROOF TYPE: SLOPED (2:12 TO 5:12). INVERTER OUTPUT: 2.925 KW. ARRAY OUTPUT: 3.825 KW.  LOCATION: ROOF OF DETACHED GARAGE. ICC DISTRIBUTED GENERATION INSTALLER CERT. #24-0450. | SPECIAL CONDITION: * NEC REFERENCES TO BE OMITTED FROM DRAWINGS, ALL GENERAL ELECTRICAL NOTES SHALL REFERENCE CEC 2018. * REFER TO SOLAR (PRINCIPAL) PERMIT B200435560.* UNDERGROUND RACEWAY TO BE INSPECTED BY AHJ PRIOR TO COVERING. * ALL EQUIPMENT, CONNECTORS, RACEWAYS, TAPS, ETC... MUST BE LISTED AND LABELED FOR USE.</t>
  </si>
  <si>
    <t>LOW VOLTAGE/COMMUNICATION ELECTRICAL WORK. INSTALL AUDIO. SPECIFIC LOCATION: UNIT 31A.</t>
  </si>
  <si>
    <t>SCOPE: ROOF REPLACEMENT. AREA: 15600 SQ. FT. ROOF COVERING: OTHER. LOCATION: ROOF TOP. IL ROOFING CONTRACTOR LICENSE: 104000268.</t>
  </si>
  <si>
    <t>TUCKPOINTING AND UNIT MASONRY REPAIR / REPLACEMENT: 1000 SQ. FT., LINTEL QTY. 0, MAX. LENGTH 0. LOCATION: EAST ELEVATION.</t>
  </si>
  <si>
    <t>SCOPE: ROOF REPLACEMENT. AREA: 3000 SQ. FT. ROOF COVERING: BUILT-UP ROOF. LOCATION: ROOF SURFACE. IL ROOFING CONTRACTOR LICENSE: 104.01409.</t>
  </si>
  <si>
    <t>LINE VOLTAGE ELECTRICAL WORK. NEW PERMANENT 200 AMP SERVICE DISCONNECTING MEANS WITH 16 CIRCUITS. RECEPTACLE OUTLETS: 1 . LIGHTING OUTLETS: 0. SPECIFIC LOCATION: OUTSIDE.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</si>
  <si>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B200435527.* ALL EQUIPMENT, CONNECTORS, RACEWAYS, TAPS, ETC... MUST BE LISTED AND LABELED FOR USE.</t>
  </si>
  <si>
    <t>INSTALL SOLAR PANELS ON ROOF OF PRINCIPAL BUILDING. ROOF TYPE: STEEP (&gt;5:12).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B200435700 AND ELECTRICAL PERMIT B200433934.* UNDERGROUND RACEWAY TO BE INSPECTED BY AHJ PRIOR TO COVERING. * ALL EQUIPMENT, CONNECTORS, RACEWAYS, TAPS, ETC... MUST BE LISTED AND LABELED FOR USE.</t>
  </si>
  <si>
    <t>PURPOSE: NEW/REPLACEMENT INSTALLATION. CHAIN LINK FENCE - 6'-0' ' (HEIGHT) X 175'-0' ' (LENGTH). LOCATION: NORTH, FRONT AND REAR SIDE OF THE PROPERTY.</t>
  </si>
  <si>
    <t>SCOPE: ROOF REPLACEMENT. AREA: 3000 SQ. FT. ROOF COVERING: MINERAL - SURFACED ROLL ROOFING. LOCATION: ROOFING. IL ROOFING CONTRACTOR LICENSE: 104019437.</t>
  </si>
  <si>
    <t>INSTALL SOLAR PANELS ON ROOF OF ACCESSORY BUILDING. ROOF TYPE: SLOPED (2:12 TO 5:12). INVERTER OUTPUT: 10 KW. ARRAY OUTPUT: 3.28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B200435695 AND ELECTRICAL PERMIT B200433934.* UNDERGROUND RACEWAY TO BE INSPECTED BY AHJ PRIOR TO COVERING. * ALL EQUIPMENT, CONNECTORS, RACEWAYS, TAPS, ETC... MUST BE LISTED AND LABELED FOR USE.</t>
  </si>
  <si>
    <t>SCOPE: ROOF REPLACEMENT. AREA: 19300 SQ. FT. ROOF COVERING: OTHER. LOCATION: ROOF TOP. IL ROOFING CONTRACTOR LICENSE: 104003433.</t>
  </si>
  <si>
    <t>INSTALL SOLAR PANELS ON ROOF OF PRINCIPAL BUILDING. ROOF TYPE: STEEP (&gt;5:12). INVERTER OUTPUT: 10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B200435704 AND ELECTRICAL PERMIT B200435532.*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</si>
  <si>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4.1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B200435702 AND ELECTRICAL PERMIT B200435532.* UNDERGROUND RACEWAY TO BE INSPECTED BY AHJ PRIOR TO COVERING. * ALL EQUIPMENT, CONNECTORS, RACEWAYS, TAPS, MUST BE LISTED AND LABELED FOR USE.</t>
  </si>
  <si>
    <t>PURPOSE: LEGALIZE UNPERMITTED WORK. CHAIN LINK FENCE - 6'-0' ' (HEIGHT) X 36'-0' ' (LENGTH). LOCATION: PERIMETER OF LOT.</t>
  </si>
  <si>
    <t>INSTALL SOLAR PANELS ON ROOF OF PRINCIPAL BUILDING. ROOF TYPE: STEEP (&gt;5:12).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B200435710 AND ELECTRICAL PERMIT B200435534.*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</si>
  <si>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B200435707 AND ELECTRICAL PERMIT B200435534.* UNDERGROUND RACEWAY TO BE INSPECTED BY AHJ PRIOR TO COVERING. * ALL EQUIPMENT, CONNECTORS, RACEWAYS, TAPS, MUST BE LISTED AND LABELED FOR USE.</t>
  </si>
  <si>
    <t>SCOPE: ROOF REPLACEMENT. AREA: 4950 SQ. FT. ROOF COVERING: OTHER. LOCATION: ROOF TOP. IL ROOFING CONTRACTOR LICENSE: 104007295. | SPECIAL CONDITION: WORK IS BEING PERFORMED AT 2787 W FULTON ST. SAME ADDRESS AS 273 N CALIFORNIA AVE</t>
  </si>
  <si>
    <t>LOW VOLTAGE/COMMUNICATION ELECTRICAL WORK. INSTALL SECURITY. SPECIFIC LOCATION: SUITE 1132.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</si>
  <si>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B200434854.* ALL EQUIPMENT, CONNECTORS, RACEWAYS, TAPS, MUST BE LISTED AND LABELED FOR USE.</t>
  </si>
  <si>
    <t>LIMITED REPAIR (25% OR LESS) FOR WOOD PORCH (OPEN) (QUANTITY: 1, LOCATION: REAR OF BUILDING).  LANDING: 96 SQUARE FEET.  LANDING NOT MORE THAN 6 FEET ABOVE GROUND. LIMITED REPAIR (25% OR LESS) FOR WOOD PORCH (OPEN) (QUANTITY: 1, LOCATION: FRONT OF BUILDING).  LANDING: 65 SQUARE FEET.  LANDING NOT MORE THAN 6 FEET ABOVE GROUND.</t>
  </si>
  <si>
    <t>INSTALL SOLAR PANELS ON ROOF OF PRINCIPAL BUILDING. ROOF TYPE: STEEP (&gt;5:12). INVERTER OUTPUT: 11.5 KW. ARRAY OUTPUT: 16.81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B200435679.*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</si>
  <si>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B200435260.* ALL EQUIPMENT, CONNECTORS, RACEWAYS, TAPS, MUST BE LISTED AND LABELED FOR USE.</t>
  </si>
  <si>
    <t>LIMITED REPAIR (25% OR LESS) FOR WOOD OCCUPIABLE ROOFTOP (QUANTITY: 1, LOCATION: REAR OF BUILDING).</t>
  </si>
  <si>
    <t>SCOPE: ROOF REPLACEMENT. AREA: 7 SQ. FT. ROOF COVERING: ASPHALT SHINGLES. LOCATION: DETACHED GARAGE. IL ROOFING CONTRACTOR LICENSE: 104019663.</t>
  </si>
  <si>
    <t>INSTALL SOLAR PANELS ON ROOF OF PRINCIPAL BUILDING. ROOF TYPE: SLOPED (2:12 TO 5:12). INVERTER OUTPUT: 10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B200435682.* ALL EQUIPMENT, CONNECTORS, RACEWAYS, TAPS, MUST BE LISTED AND LABELED FOR USE.</t>
  </si>
  <si>
    <t>INSTALL SOLAR PANELS ON ROOF OF PRINCIPAL BUILDING. ROOF TYPE: SLOPED (2:12 TO 5:12). INVERTER OUTPUT: 10 KW. ARRAY OUTPUT: 13.94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B200435196.* ALL EQUIPMENT, CONNECTORS, RACEWAYS, TAPS, MUST BE LISTED AND LABELED FOR USE.</t>
  </si>
  <si>
    <t>SCOPE: ROOF REPLACEMENT. AREA: 1600 SQ. FT. ROOF COVERING: BUILT-UP ROOF. LOCATION: FULL ROOF REPLACEMENT. IL ROOFING CONTRACTOR LICENSE: 104019422.</t>
  </si>
  <si>
    <t>SCOPE: ROOF REPLACEMENT. AREA: 2277 SQ. FT. ROOF COVERING: ASPHALT SHINGLES. LOCATION: ROOF AND GUTTERS. IL ROOFING CONTRACTOR LICENSE: 104018904.</t>
  </si>
  <si>
    <t>TUCKPOINTING AND UNIT MASONRY REPAIR / REPLACEMENT: 15100 SQ. FT., LINTEL QTY. 0, MAX. LENGTH 0. LOCATION: PERIMETER FACADE.</t>
  </si>
  <si>
    <t>LINE VOLTAGE ELECTRICAL WORK. NEW PERMANENT 100 AMP SERVICE DISCONNECTING MEANS WITH 10 CIRCUITS. RECEPTACLE OUTLETS: 1 . LIGHTING OUTLETS: 0. SPECIFIC LOCATION: UNIT 13 C.</t>
  </si>
  <si>
    <t>REPAIR/REPLACEMENT AFFECTING 1 SYSTEMS :   1 OTHER COOLING EQUIPMENT(FRIGID COIL / IMECO RC-F-28-74-EF FREEZER UNIT) . ELECTRICAL WORK UNDER THIS PERMIT = NO . LOCATIONS: 0 RESIDENTIAL UNIT(S), 1 NON-RESIDENTIAL UNIT(S), EXTERIOR WORK,  PENTHOUSE AU-1 ZONE 30. | SPECIAL CONDITION: COMMONLY ADDRESSED AS 4220 S KILDARE AVECONTACT REFRIGERATION SUPERVISOR CLEMENT GAVIN 312-743-3562, PRIOR TO THE INSTALLATION OF ANY ROOFTOP EQUIPMENT, TO SCHEDULE AN INSPECTION.</t>
  </si>
  <si>
    <t>ADA BATHROOM MODIFICATIONS. REMOVE TUB AND INSTALL SHOWER WITH ASSOCIATED FIXTURES AND TILE WORK.</t>
  </si>
  <si>
    <t>LINE VOLTAGE ELECTRICAL WORK. REPAIR OR ALTER DEVICES ON EXISTING CIRCUITS. RECEPTACLE OUTLETS: 12 . LIGHTING OUTLETS: 8. SPECIFIC LOCATION: PARKING LOT.</t>
  </si>
  <si>
    <t>REPAIR/REPLACEMENT AFFECTING 1 SYSTEMS :   1 OTHER COOLING EQUIPMENT(A 25 YEAR OLD AC UNIT LENNOX  ML13KC1-024) . ELECTRICAL WORK UNDER THIS PERMIT = NO . LOCATIONS: 1 RESIDENTIAL UNIT(S), 0 NON-RESIDENTIAL UNIT(S),  REPLACE THE AC ON BUILDING ROOF FOR UNIT 301. | SPECIAL CONDITION: CONTACT REFRIGERATION SUPERVISOR CLEMENT GAVIN 312-743-3562, PRIOR TO THE INSTALLATION OF ANY ROOFTOP EQUIPMENT, TO SCHEDULE AN INSPECTION.</t>
  </si>
  <si>
    <t>IN-KIND REPLACEMENT OF EXTERIOR WINDOWS AND DOORS IN EXISTING OPENINGS. REPLACEMENT WINDOWS: 4; REPLACEMENT SKYLIGHTS: 0; REPLACEMENT DOORS: 0. AFFECTS: 1 RESIDENTIAL UNIT(S), 0 NON-RESIDENTIAL UNIT(S), LOCATION: FRONT OF BUILDING WINDOWS ON GROUND FLOOR. | SPECIAL CONDITION: NEW WINDOWS TO BE (3) GANGED DOUBLE-HUNG CLAD WOOD WINDOWS.</t>
  </si>
  <si>
    <t>NEW DETACHED WOOD FRAME GARAGE. DIMENSIONS AND SETBACKS PER APPLICATION. BUILDING OUTSIDE DIMENSIONS: 20'-0' ' X22'-0' '. GABLE ROOF HEIGHT TO PEAK: 15'-0' '.</t>
  </si>
  <si>
    <t>NEW DETACHED WOOD FRAME GARAGE. DIMENSIONS AND SETBACKS PER APPLICATION. BUILDING OUTSIDE DIMENSIONS: 24'-0' ' X18'-0' '. GABLE ROOF HEIGHT TO PEAK: 12'-0' '.</t>
  </si>
  <si>
    <t>INSTALL SOLAR PANELS ON ROOF OF PRINCIPAL BUILDING. ROOF TYPE: SLOPED (2:12 TO 5:12). INVERTER OUTPUT: 11.02 KW. ARRAY OUTPUT: 16.15 KW.  LOCATION: ROOFTOP AND EXTERIOR WALLS OF THE BUILDING. ICC DISTRIBUTED GENERATION INSTALLER CERT. #25-0072. | SPECIAL CONDITION: * NEC REFERENCES TO BE OMITTED FROM DRAWINGS, ALL GENERAL ELECTRICAL NOTES SHALL REFERENCE CEC 2018.* PLEASE APPLY FOR ELECTRICAL PERMIT PRIOR TO SOLAR INSPECTION AND HAVE PRESENT ON DATE OF SOLAR INSPECTION OR RISK FAILURE AS PROPOSED WORK PER ELECTRICAL DRAWING.* ALL EQUIPMENT, CONNECTORS, RACEWAYS, TAPS, MUST BE LISTED AND LABELED FOR USE.</t>
  </si>
  <si>
    <t>LINE VOLTAGE ELECTRICAL WORK. REPAIR OR ALTER DEVICES ON EXISTING CIRCUITS. RECEPTACLE OUTLETS: 1 . LIGHTING OUTLETS: 1. SPECIFIC LOCATION: 1ST FLOOR.</t>
  </si>
  <si>
    <t>LIMITED REPAIR (25% OR LESS) FOR WOOD PORCH (OPEN) (QUANTITY: 1, LOCATION: REAR OF BUILDING).  LANDING: 40 SQUARE FEET.  LANDING NOT MORE THAN 6 FEET ABOVE GROUND.</t>
  </si>
  <si>
    <t>TUCKPOINTING AND UNIT MASONRY REPAIR / REPLACEMENT: 50 SQ. FT., LINTEL QTY. 0, MAX. LENGTH 0. LOCATION: FRONT FACADE.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</si>
  <si>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B200435894.* ALL EQUIPMENT, CONNECTORS, RACEWAYS, TAPS, ETC... MUST BE LISTED AND LABELED FOR USE.</t>
  </si>
  <si>
    <t>NO PIN FOUND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</si>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</sst>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202</v>
      </c>
      <c r="D2" t="s">
        <v>402</v>
      </c>
      <c r="I2">
        <v>5500</v>
      </c>
      <c r="K2" t="s">
        <v>429</v>
      </c>
      <c r="L2">
        <f>HYPERLINK("https://maps.cookcountyil.gov/cookviewer/?search=6106 W 60TH ST", "6106 W 60TH ST")</f>
        <v>0</v>
      </c>
      <c r="N2" t="s">
        <v>607</v>
      </c>
      <c r="P2" t="s">
        <v>608</v>
      </c>
      <c r="Q2" t="s">
        <v>780</v>
      </c>
      <c r="U2">
        <f>HYPERLINK("https://www.cookcountyassessoril.gov/pin/19173080380000", "19-17-308-038-0000")</f>
        <v>0</v>
      </c>
      <c r="V2" t="s">
        <v>965</v>
      </c>
    </row>
    <row r="3" spans="1:23">
      <c r="A3">
        <v>2</v>
      </c>
      <c r="B3" t="s">
        <v>24</v>
      </c>
      <c r="C3" t="s">
        <v>203</v>
      </c>
      <c r="D3" t="s">
        <v>403</v>
      </c>
      <c r="I3">
        <v>30000</v>
      </c>
      <c r="K3" t="s">
        <v>430</v>
      </c>
      <c r="L3">
        <f>HYPERLINK("https://maps.cookcountyil.gov/cookviewer/?search=1166 S PLYMOUTH CT", "1166 S PLYMOUTH CT")</f>
        <v>0</v>
      </c>
      <c r="N3" t="s">
        <v>607</v>
      </c>
      <c r="P3" t="s">
        <v>609</v>
      </c>
      <c r="Q3" t="s">
        <v>781</v>
      </c>
      <c r="U3" t="s">
        <v>964</v>
      </c>
      <c r="V3" t="s">
        <v>965</v>
      </c>
    </row>
    <row r="4" spans="1:23">
      <c r="A4">
        <v>3</v>
      </c>
      <c r="B4" t="s">
        <v>25</v>
      </c>
      <c r="C4" t="s">
        <v>204</v>
      </c>
      <c r="D4" t="s">
        <v>402</v>
      </c>
      <c r="I4">
        <v>1500</v>
      </c>
      <c r="K4" t="s">
        <v>431</v>
      </c>
      <c r="L4">
        <f>HYPERLINK("https://maps.cookcountyil.gov/cookviewer/?search=7834 S KENWOOD AVE", "7834 S KENWOOD AVE")</f>
        <v>0</v>
      </c>
      <c r="N4" t="s">
        <v>607</v>
      </c>
      <c r="P4" t="s">
        <v>610</v>
      </c>
      <c r="Q4" t="s">
        <v>782</v>
      </c>
      <c r="U4">
        <f>HYPERLINK("https://www.cookcountyassessoril.gov/pin/20264260290000", "20-26-426-029-0000")</f>
        <v>0</v>
      </c>
      <c r="V4" t="s">
        <v>965</v>
      </c>
    </row>
    <row r="5" spans="1:23">
      <c r="A5">
        <v>4</v>
      </c>
      <c r="B5" t="s">
        <v>26</v>
      </c>
      <c r="C5" t="s">
        <v>205</v>
      </c>
      <c r="D5" t="s">
        <v>402</v>
      </c>
      <c r="I5">
        <v>1500</v>
      </c>
      <c r="K5" t="s">
        <v>432</v>
      </c>
      <c r="L5">
        <f>HYPERLINK("https://maps.cookcountyil.gov/cookviewer/?search=6208 S NORMANDY AVE", "6208 S NORMANDY AVE")</f>
        <v>0</v>
      </c>
      <c r="N5" t="s">
        <v>607</v>
      </c>
      <c r="P5" t="s">
        <v>611</v>
      </c>
      <c r="Q5" t="s">
        <v>783</v>
      </c>
      <c r="U5">
        <f>HYPERLINK("https://www.cookcountyassessoril.gov/pin/19184230220000", "19-18-423-022-0000")</f>
        <v>0</v>
      </c>
      <c r="V5" t="s">
        <v>965</v>
      </c>
    </row>
    <row r="6" spans="1:23">
      <c r="A6">
        <v>5</v>
      </c>
      <c r="B6" t="s">
        <v>27</v>
      </c>
      <c r="C6" t="s">
        <v>206</v>
      </c>
      <c r="D6" t="s">
        <v>404</v>
      </c>
      <c r="I6">
        <v>7200</v>
      </c>
      <c r="K6" t="s">
        <v>433</v>
      </c>
      <c r="L6">
        <f>HYPERLINK("https://maps.cookcountyil.gov/cookviewer/?search=5329 W AGATITE AVE", "5329 W AGATITE AVE")</f>
        <v>0</v>
      </c>
      <c r="N6" t="s">
        <v>607</v>
      </c>
      <c r="P6" t="s">
        <v>612</v>
      </c>
      <c r="Q6" t="s">
        <v>784</v>
      </c>
      <c r="U6">
        <f>HYPERLINK("https://www.cookcountyassessoril.gov/pin/13161290210000", "13-16-129-021-0000")</f>
        <v>0</v>
      </c>
      <c r="V6" t="s">
        <v>966</v>
      </c>
    </row>
    <row r="7" spans="1:23">
      <c r="A7">
        <v>6</v>
      </c>
      <c r="B7" t="s">
        <v>28</v>
      </c>
      <c r="C7" t="s">
        <v>207</v>
      </c>
      <c r="D7" t="s">
        <v>405</v>
      </c>
      <c r="I7">
        <v>37640</v>
      </c>
      <c r="K7" t="s">
        <v>434</v>
      </c>
      <c r="L7">
        <f>HYPERLINK("https://maps.cookcountyil.gov/cookviewer/?search=712 W DIVERSEY PKWY", "712 W DIVERSEY PKWY")</f>
        <v>0</v>
      </c>
      <c r="N7" t="s">
        <v>607</v>
      </c>
      <c r="P7" t="s">
        <v>613</v>
      </c>
      <c r="Q7" t="s">
        <v>785</v>
      </c>
      <c r="U7" t="s">
        <v>964</v>
      </c>
      <c r="V7" t="s">
        <v>965</v>
      </c>
    </row>
    <row r="8" spans="1:23">
      <c r="A8">
        <v>7</v>
      </c>
      <c r="B8" t="s">
        <v>27</v>
      </c>
      <c r="C8" t="s">
        <v>208</v>
      </c>
      <c r="D8" t="s">
        <v>404</v>
      </c>
      <c r="I8">
        <v>6500</v>
      </c>
      <c r="K8" t="s">
        <v>433</v>
      </c>
      <c r="L8">
        <f>HYPERLINK("https://maps.cookcountyil.gov/cookviewer/?search=5329 W AGATITE AVE", "5329 W AGATITE AVE")</f>
        <v>0</v>
      </c>
      <c r="N8" t="s">
        <v>607</v>
      </c>
      <c r="P8" t="s">
        <v>612</v>
      </c>
      <c r="Q8" t="s">
        <v>786</v>
      </c>
      <c r="U8">
        <f>HYPERLINK("https://www.cookcountyassessoril.gov/pin/13161290210000", "13-16-129-021-0000")</f>
        <v>0</v>
      </c>
      <c r="V8" t="s">
        <v>965</v>
      </c>
    </row>
    <row r="9" spans="1:23">
      <c r="A9">
        <v>8</v>
      </c>
      <c r="B9" t="s">
        <v>29</v>
      </c>
      <c r="C9" t="s">
        <v>209</v>
      </c>
      <c r="D9" t="s">
        <v>402</v>
      </c>
      <c r="I9">
        <v>18000</v>
      </c>
      <c r="K9" t="s">
        <v>435</v>
      </c>
      <c r="L9">
        <f>HYPERLINK("https://maps.cookcountyil.gov/cookviewer/?search=7159 S WASHTENAW AVE", "7159 S WASHTENAW AVE")</f>
        <v>0</v>
      </c>
      <c r="N9" t="s">
        <v>607</v>
      </c>
      <c r="P9" t="s">
        <v>614</v>
      </c>
      <c r="Q9" t="s">
        <v>787</v>
      </c>
      <c r="U9">
        <f>HYPERLINK("https://www.cookcountyassessoril.gov/pin/19252020250000", "19-25-202-025-0000")</f>
        <v>0</v>
      </c>
      <c r="V9" t="s">
        <v>966</v>
      </c>
    </row>
    <row r="10" spans="1:23">
      <c r="A10">
        <v>9</v>
      </c>
      <c r="B10" t="s">
        <v>30</v>
      </c>
      <c r="C10" t="s">
        <v>210</v>
      </c>
      <c r="D10" t="s">
        <v>405</v>
      </c>
      <c r="I10">
        <v>5000</v>
      </c>
      <c r="K10" t="s">
        <v>436</v>
      </c>
      <c r="L10">
        <f>HYPERLINK("https://maps.cookcountyil.gov/cookviewer/?search=3325 N WHIPPLE ST", "3325 N WHIPPLE ST")</f>
        <v>0</v>
      </c>
      <c r="N10" t="s">
        <v>607</v>
      </c>
      <c r="P10" t="s">
        <v>615</v>
      </c>
      <c r="Q10" t="s">
        <v>788</v>
      </c>
      <c r="U10">
        <f>HYPERLINK("https://www.cookcountyassessoril.gov/pin/13243130160000", "13-24-313-016-0000")</f>
        <v>0</v>
      </c>
      <c r="V10" t="s">
        <v>965</v>
      </c>
    </row>
    <row r="11" spans="1:23">
      <c r="A11">
        <v>10</v>
      </c>
      <c r="B11" t="s">
        <v>31</v>
      </c>
      <c r="C11" t="s">
        <v>211</v>
      </c>
      <c r="D11" t="s">
        <v>406</v>
      </c>
      <c r="I11">
        <v>17597</v>
      </c>
      <c r="K11" t="s">
        <v>437</v>
      </c>
      <c r="L11">
        <f>HYPERLINK("https://maps.cookcountyil.gov/cookviewer/?search=13246 S HOUSTON AVE", "13246 S HOUSTON AVE")</f>
        <v>0</v>
      </c>
      <c r="N11" t="s">
        <v>607</v>
      </c>
      <c r="P11" t="s">
        <v>616</v>
      </c>
      <c r="Q11" t="s">
        <v>789</v>
      </c>
      <c r="U11" t="s">
        <v>964</v>
      </c>
      <c r="V11" t="s">
        <v>966</v>
      </c>
    </row>
    <row r="12" spans="1:23">
      <c r="A12">
        <v>11</v>
      </c>
      <c r="B12" t="s">
        <v>32</v>
      </c>
      <c r="C12" t="s">
        <v>212</v>
      </c>
      <c r="D12" t="s">
        <v>405</v>
      </c>
      <c r="I12">
        <v>30000</v>
      </c>
      <c r="K12" t="s">
        <v>438</v>
      </c>
      <c r="L12">
        <f>HYPERLINK("https://maps.cookcountyil.gov/cookviewer/?search=123 N SANGAMON ST", "123 N SANGAMON ST")</f>
        <v>0</v>
      </c>
      <c r="N12" t="s">
        <v>607</v>
      </c>
      <c r="P12" t="s">
        <v>617</v>
      </c>
      <c r="Q12" t="s">
        <v>790</v>
      </c>
      <c r="U12">
        <f>HYPERLINK("https://www.cookcountyassessoril.gov/pin/17084400140000", "17-08-440-014-0000")</f>
        <v>0</v>
      </c>
      <c r="V12" t="s">
        <v>965</v>
      </c>
    </row>
    <row r="13" spans="1:23">
      <c r="A13">
        <v>12</v>
      </c>
      <c r="B13" t="s">
        <v>31</v>
      </c>
      <c r="C13" t="s">
        <v>213</v>
      </c>
      <c r="D13" t="s">
        <v>402</v>
      </c>
      <c r="I13">
        <v>1500</v>
      </c>
      <c r="K13" t="s">
        <v>437</v>
      </c>
      <c r="L13">
        <f>HYPERLINK("https://maps.cookcountyil.gov/cookviewer/?search=13246 S HOUSTON AVE", "13246 S HOUSTON AVE")</f>
        <v>0</v>
      </c>
      <c r="N13" t="s">
        <v>607</v>
      </c>
      <c r="P13" t="s">
        <v>616</v>
      </c>
      <c r="Q13" t="s">
        <v>791</v>
      </c>
      <c r="U13" t="s">
        <v>964</v>
      </c>
      <c r="V13" t="s">
        <v>965</v>
      </c>
    </row>
    <row r="14" spans="1:23">
      <c r="A14">
        <v>13</v>
      </c>
      <c r="B14" t="s">
        <v>33</v>
      </c>
      <c r="C14" t="s">
        <v>214</v>
      </c>
      <c r="D14" t="s">
        <v>405</v>
      </c>
      <c r="I14">
        <v>15000</v>
      </c>
      <c r="K14" t="s">
        <v>439</v>
      </c>
      <c r="L14">
        <f>HYPERLINK("https://maps.cookcountyil.gov/cookviewer/?search=922 W WASHINGTON BLVD", "922 W WASHINGTON BLVD")</f>
        <v>0</v>
      </c>
      <c r="N14" t="s">
        <v>607</v>
      </c>
      <c r="P14" t="s">
        <v>617</v>
      </c>
      <c r="Q14" t="s">
        <v>792</v>
      </c>
      <c r="U14">
        <f>HYPERLINK("https://www.cookcountyassessoril.gov/pin/17084400130000", "17-08-440-013-0000")</f>
        <v>0</v>
      </c>
      <c r="V14" t="s">
        <v>965</v>
      </c>
    </row>
    <row r="15" spans="1:23">
      <c r="A15">
        <v>14</v>
      </c>
      <c r="B15" t="s">
        <v>34</v>
      </c>
      <c r="C15" t="s">
        <v>215</v>
      </c>
      <c r="D15" t="s">
        <v>407</v>
      </c>
      <c r="I15">
        <v>750</v>
      </c>
      <c r="K15" t="s">
        <v>440</v>
      </c>
      <c r="L15">
        <f>HYPERLINK("https://maps.cookcountyil.gov/cookviewer/?search=48 W 112TH PL", "48 W 112TH PL")</f>
        <v>0</v>
      </c>
      <c r="N15" t="s">
        <v>607</v>
      </c>
      <c r="P15" t="s">
        <v>618</v>
      </c>
      <c r="Q15" t="s">
        <v>793</v>
      </c>
      <c r="U15">
        <f>HYPERLINK("https://www.cookcountyassessoril.gov/pin/25212110220000", "25-21-211-022-0000")</f>
        <v>0</v>
      </c>
      <c r="V15" t="s">
        <v>965</v>
      </c>
    </row>
    <row r="16" spans="1:23">
      <c r="A16">
        <v>15</v>
      </c>
      <c r="B16" t="s">
        <v>35</v>
      </c>
      <c r="C16" t="s">
        <v>216</v>
      </c>
      <c r="D16" t="s">
        <v>402</v>
      </c>
      <c r="I16">
        <v>1500</v>
      </c>
      <c r="K16" t="s">
        <v>441</v>
      </c>
      <c r="L16">
        <f>HYPERLINK("https://maps.cookcountyil.gov/cookviewer/?search=7854 S KEDVALE AVE", "7854 S KEDVALE AVE")</f>
        <v>0</v>
      </c>
      <c r="N16" t="s">
        <v>607</v>
      </c>
      <c r="P16" t="s">
        <v>619</v>
      </c>
      <c r="Q16" t="s">
        <v>794</v>
      </c>
      <c r="U16">
        <f>HYPERLINK("https://www.cookcountyassessoril.gov/pin/19274060320000", "19-27-406-032-0000")</f>
        <v>0</v>
      </c>
      <c r="V16" t="s">
        <v>965</v>
      </c>
    </row>
    <row r="17" spans="1:22">
      <c r="A17">
        <v>16</v>
      </c>
      <c r="B17" t="s">
        <v>36</v>
      </c>
      <c r="C17" t="s">
        <v>217</v>
      </c>
      <c r="D17" t="s">
        <v>408</v>
      </c>
      <c r="I17">
        <v>8946</v>
      </c>
      <c r="K17" t="s">
        <v>442</v>
      </c>
      <c r="L17">
        <f>HYPERLINK("https://maps.cookcountyil.gov/cookviewer/?search=1814 N DRAKE AVE", "1814 N DRAKE AVE")</f>
        <v>0</v>
      </c>
      <c r="N17" t="s">
        <v>607</v>
      </c>
      <c r="P17" t="s">
        <v>620</v>
      </c>
      <c r="Q17" t="s">
        <v>795</v>
      </c>
      <c r="U17">
        <f>HYPERLINK("https://www.cookcountyassessoril.gov/pin/13354060370000", "13-35-406-037-0000")</f>
        <v>0</v>
      </c>
      <c r="V17" t="s">
        <v>966</v>
      </c>
    </row>
    <row r="18" spans="1:22">
      <c r="A18">
        <v>17</v>
      </c>
      <c r="B18" t="s">
        <v>37</v>
      </c>
      <c r="C18" t="s">
        <v>218</v>
      </c>
      <c r="D18" t="s">
        <v>404</v>
      </c>
      <c r="I18">
        <v>18713</v>
      </c>
      <c r="K18" t="s">
        <v>443</v>
      </c>
      <c r="L18">
        <f>HYPERLINK("https://maps.cookcountyil.gov/cookviewer/?search=11301 S PARNELL AVE", "11301 S PARNELL AVE")</f>
        <v>0</v>
      </c>
      <c r="N18" t="s">
        <v>607</v>
      </c>
      <c r="P18" t="s">
        <v>621</v>
      </c>
      <c r="Q18" t="s">
        <v>796</v>
      </c>
      <c r="U18">
        <f>HYPERLINK("https://www.cookcountyassessoril.gov/pin/25211210010000", "25-21-121-001-0000")</f>
        <v>0</v>
      </c>
      <c r="V18" t="s">
        <v>966</v>
      </c>
    </row>
    <row r="19" spans="1:22">
      <c r="A19">
        <v>18</v>
      </c>
      <c r="B19" t="s">
        <v>38</v>
      </c>
      <c r="C19" t="s">
        <v>219</v>
      </c>
      <c r="D19" t="s">
        <v>409</v>
      </c>
      <c r="I19">
        <v>14311</v>
      </c>
      <c r="K19" t="s">
        <v>444</v>
      </c>
      <c r="L19">
        <f>HYPERLINK("https://maps.cookcountyil.gov/cookviewer/?search=57 W BURTON PL", "57 W BURTON PL")</f>
        <v>0</v>
      </c>
      <c r="N19" t="s">
        <v>607</v>
      </c>
      <c r="P19" t="s">
        <v>622</v>
      </c>
      <c r="Q19" t="s">
        <v>797</v>
      </c>
      <c r="U19">
        <f>HYPERLINK("https://www.cookcountyassessoril.gov/pin/17042090380000", "17-04-209-038-0000"), =HYPERLINK("https://www.cookcountyassessoril.gov/pin/17042090060000", "17-04-209-006-0000")</f>
        <v>0</v>
      </c>
      <c r="V19" t="s">
        <v>965</v>
      </c>
    </row>
    <row r="20" spans="1:22">
      <c r="A20">
        <v>19</v>
      </c>
      <c r="B20" t="s">
        <v>39</v>
      </c>
      <c r="C20" t="s">
        <v>220</v>
      </c>
      <c r="D20" t="s">
        <v>402</v>
      </c>
      <c r="I20">
        <v>42300</v>
      </c>
      <c r="K20" t="s">
        <v>445</v>
      </c>
      <c r="L20">
        <f>HYPERLINK("https://maps.cookcountyil.gov/cookviewer/?search=10835 S KEDZIE AVE", "10835 S KEDZIE AVE")</f>
        <v>0</v>
      </c>
      <c r="N20" t="s">
        <v>607</v>
      </c>
      <c r="P20" t="s">
        <v>623</v>
      </c>
      <c r="Q20" t="s">
        <v>798</v>
      </c>
      <c r="U20">
        <f>HYPERLINK("https://www.cookcountyassessoril.gov/pin/24133040610000", "24-13-304-061-0000")</f>
        <v>0</v>
      </c>
      <c r="V20" t="s">
        <v>966</v>
      </c>
    </row>
    <row r="21" spans="1:22">
      <c r="A21">
        <v>20</v>
      </c>
      <c r="B21" t="s">
        <v>40</v>
      </c>
      <c r="C21" t="s">
        <v>221</v>
      </c>
      <c r="D21" t="s">
        <v>410</v>
      </c>
      <c r="I21">
        <v>18000</v>
      </c>
      <c r="K21" t="s">
        <v>446</v>
      </c>
      <c r="L21">
        <f>HYPERLINK("https://maps.cookcountyil.gov/cookviewer/?search=5852 W LAWRENCE AVE", "5852 W LAWRENCE AVE")</f>
        <v>0</v>
      </c>
      <c r="N21" t="s">
        <v>607</v>
      </c>
      <c r="P21" t="s">
        <v>624</v>
      </c>
      <c r="Q21" t="s">
        <v>799</v>
      </c>
      <c r="U21">
        <f>HYPERLINK("https://www.cookcountyassessoril.gov/pin/13084300380000", "13-08-430-038-0000")</f>
        <v>0</v>
      </c>
      <c r="V21" t="s">
        <v>966</v>
      </c>
    </row>
    <row r="22" spans="1:22">
      <c r="A22">
        <v>21</v>
      </c>
      <c r="B22" t="s">
        <v>41</v>
      </c>
      <c r="C22" t="s">
        <v>222</v>
      </c>
      <c r="D22" t="s">
        <v>411</v>
      </c>
      <c r="I22">
        <v>693950</v>
      </c>
      <c r="K22" t="s">
        <v>447</v>
      </c>
      <c r="L22">
        <f>HYPERLINK("https://maps.cookcountyil.gov/cookviewer/?search=330 N CLINTON ST", "330 N CLINTON ST")</f>
        <v>0</v>
      </c>
      <c r="N22" t="s">
        <v>607</v>
      </c>
      <c r="P22" t="s">
        <v>625</v>
      </c>
      <c r="Q22" t="s">
        <v>800</v>
      </c>
      <c r="U22" t="s">
        <v>964</v>
      </c>
      <c r="V22" t="s">
        <v>966</v>
      </c>
    </row>
    <row r="23" spans="1:22">
      <c r="A23">
        <v>22</v>
      </c>
      <c r="B23" t="s">
        <v>42</v>
      </c>
      <c r="C23" t="s">
        <v>223</v>
      </c>
      <c r="D23" t="s">
        <v>404</v>
      </c>
      <c r="I23">
        <v>8352</v>
      </c>
      <c r="K23" t="s">
        <v>448</v>
      </c>
      <c r="L23">
        <f>HYPERLINK("https://maps.cookcountyil.gov/cookviewer/?search=5364 N NOTTINGHAM AVE", "5364 N NOTTINGHAM AVE")</f>
        <v>0</v>
      </c>
      <c r="N23" t="s">
        <v>607</v>
      </c>
      <c r="P23" t="s">
        <v>626</v>
      </c>
      <c r="Q23" t="s">
        <v>801</v>
      </c>
      <c r="U23">
        <f>HYPERLINK("https://www.cookcountyassessoril.gov/pin/13071190090000", "13-07-119-009-0000")</f>
        <v>0</v>
      </c>
      <c r="V23" t="s">
        <v>966</v>
      </c>
    </row>
    <row r="24" spans="1:22">
      <c r="A24">
        <v>23</v>
      </c>
      <c r="B24" t="s">
        <v>43</v>
      </c>
      <c r="C24" t="s">
        <v>224</v>
      </c>
      <c r="D24" t="s">
        <v>404</v>
      </c>
      <c r="I24">
        <v>1000</v>
      </c>
      <c r="K24" t="s">
        <v>449</v>
      </c>
      <c r="L24">
        <f>HYPERLINK("https://maps.cookcountyil.gov/cookviewer/?search=4529 N SAWYER AVE", "4529 N SAWYER AVE")</f>
        <v>0</v>
      </c>
      <c r="N24" t="s">
        <v>607</v>
      </c>
      <c r="P24" t="s">
        <v>627</v>
      </c>
      <c r="Q24" t="s">
        <v>802</v>
      </c>
      <c r="U24">
        <f>HYPERLINK("https://www.cookcountyassessoril.gov/pin/13142200080000", "13-14-220-008-0000")</f>
        <v>0</v>
      </c>
      <c r="V24" t="s">
        <v>965</v>
      </c>
    </row>
    <row r="25" spans="1:22">
      <c r="A25">
        <v>24</v>
      </c>
      <c r="B25" t="s">
        <v>44</v>
      </c>
      <c r="C25" t="s">
        <v>225</v>
      </c>
      <c r="D25" t="s">
        <v>412</v>
      </c>
      <c r="I25">
        <v>12000</v>
      </c>
      <c r="K25" t="s">
        <v>450</v>
      </c>
      <c r="L25">
        <f>HYPERLINK("https://maps.cookcountyil.gov/cookviewer/?search=8301 S BRANDON AVE", "8301 S BRANDON AVE")</f>
        <v>0</v>
      </c>
      <c r="N25" t="s">
        <v>607</v>
      </c>
      <c r="P25" t="s">
        <v>628</v>
      </c>
      <c r="Q25" t="s">
        <v>803</v>
      </c>
      <c r="U25">
        <f>HYPERLINK("https://www.cookcountyassessoril.gov/pin/21322000010000", "21-32-200-001-0000")</f>
        <v>0</v>
      </c>
      <c r="V25" t="s">
        <v>965</v>
      </c>
    </row>
    <row r="26" spans="1:22">
      <c r="A26">
        <v>25</v>
      </c>
      <c r="B26" t="s">
        <v>45</v>
      </c>
      <c r="C26" t="s">
        <v>226</v>
      </c>
      <c r="D26" t="s">
        <v>405</v>
      </c>
      <c r="I26">
        <v>27512</v>
      </c>
      <c r="K26" t="s">
        <v>451</v>
      </c>
      <c r="L26">
        <f>HYPERLINK("https://maps.cookcountyil.gov/cookviewer/?search=25 E WASHINGTON ST", "25 E WASHINGTON ST")</f>
        <v>0</v>
      </c>
      <c r="N26" t="s">
        <v>607</v>
      </c>
      <c r="P26" t="s">
        <v>629</v>
      </c>
      <c r="Q26" t="s">
        <v>804</v>
      </c>
      <c r="U26">
        <f>HYPERLINK("https://www.cookcountyassessoril.gov/pin/17103110090000", "17-10-311-009-0000")</f>
        <v>0</v>
      </c>
      <c r="V26" t="s">
        <v>965</v>
      </c>
    </row>
    <row r="27" spans="1:22">
      <c r="A27">
        <v>26</v>
      </c>
      <c r="B27" t="s">
        <v>46</v>
      </c>
      <c r="C27" t="s">
        <v>227</v>
      </c>
      <c r="D27" t="s">
        <v>402</v>
      </c>
      <c r="I27">
        <v>1000</v>
      </c>
      <c r="K27" t="s">
        <v>452</v>
      </c>
      <c r="L27">
        <f>HYPERLINK("https://maps.cookcountyil.gov/cookviewer/?search=1511 W WEBSTER AVE", "1511 W WEBSTER AVE")</f>
        <v>0</v>
      </c>
      <c r="N27" t="s">
        <v>607</v>
      </c>
      <c r="P27" t="s">
        <v>630</v>
      </c>
      <c r="Q27" t="s">
        <v>805</v>
      </c>
      <c r="U27" t="s">
        <v>964</v>
      </c>
      <c r="V27" t="s">
        <v>965</v>
      </c>
    </row>
    <row r="28" spans="1:22">
      <c r="A28">
        <v>27</v>
      </c>
      <c r="B28" t="s">
        <v>47</v>
      </c>
      <c r="C28" t="s">
        <v>228</v>
      </c>
      <c r="D28" t="s">
        <v>402</v>
      </c>
      <c r="I28">
        <v>8074</v>
      </c>
      <c r="K28" t="s">
        <v>453</v>
      </c>
      <c r="L28">
        <f>HYPERLINK("https://maps.cookcountyil.gov/cookviewer/?search=5036 N ALBANY AVE", "5036 N ALBANY AVE")</f>
        <v>0</v>
      </c>
      <c r="N28" t="s">
        <v>607</v>
      </c>
      <c r="P28" t="s">
        <v>631</v>
      </c>
      <c r="Q28" t="s">
        <v>806</v>
      </c>
      <c r="U28">
        <f>HYPERLINK("https://www.cookcountyassessoril.gov/pin/13123040270000", "13-12-304-027-0000")</f>
        <v>0</v>
      </c>
      <c r="V28" t="s">
        <v>965</v>
      </c>
    </row>
    <row r="29" spans="1:22">
      <c r="A29">
        <v>28</v>
      </c>
      <c r="B29" t="s">
        <v>48</v>
      </c>
      <c r="C29" t="s">
        <v>229</v>
      </c>
      <c r="D29" t="s">
        <v>404</v>
      </c>
      <c r="I29">
        <v>7000</v>
      </c>
      <c r="K29" t="s">
        <v>454</v>
      </c>
      <c r="L29">
        <f>HYPERLINK("https://maps.cookcountyil.gov/cookviewer/?search=3647 W 57TH PL", "3647 W 57TH PL")</f>
        <v>0</v>
      </c>
      <c r="N29" t="s">
        <v>607</v>
      </c>
      <c r="P29" t="s">
        <v>632</v>
      </c>
      <c r="Q29" t="s">
        <v>807</v>
      </c>
      <c r="U29" t="s">
        <v>964</v>
      </c>
      <c r="V29" t="s">
        <v>965</v>
      </c>
    </row>
    <row r="30" spans="1:22">
      <c r="A30">
        <v>29</v>
      </c>
      <c r="B30" t="s">
        <v>49</v>
      </c>
      <c r="C30" t="s">
        <v>230</v>
      </c>
      <c r="D30" t="s">
        <v>408</v>
      </c>
      <c r="I30">
        <v>1100</v>
      </c>
      <c r="K30" t="s">
        <v>455</v>
      </c>
      <c r="L30">
        <f>HYPERLINK("https://maps.cookcountyil.gov/cookviewer/?search=11258 S CHURCH ST", "11258 S CHURCH ST")</f>
        <v>0</v>
      </c>
      <c r="N30" t="s">
        <v>607</v>
      </c>
      <c r="P30" t="s">
        <v>633</v>
      </c>
      <c r="Q30" t="s">
        <v>808</v>
      </c>
      <c r="U30">
        <f>HYPERLINK("https://www.cookcountyassessoril.gov/pin/25192100310000", "25-19-210-031-0000")</f>
        <v>0</v>
      </c>
      <c r="V30" t="s">
        <v>965</v>
      </c>
    </row>
    <row r="31" spans="1:22">
      <c r="A31">
        <v>30</v>
      </c>
      <c r="B31" t="s">
        <v>50</v>
      </c>
      <c r="C31" t="s">
        <v>231</v>
      </c>
      <c r="D31" t="s">
        <v>404</v>
      </c>
      <c r="I31">
        <v>1660</v>
      </c>
      <c r="K31" t="s">
        <v>456</v>
      </c>
      <c r="L31">
        <f>HYPERLINK("https://maps.cookcountyil.gov/cookviewer/?search=3320 W LE MOYNE ST", "3320 W LE MOYNE ST")</f>
        <v>0</v>
      </c>
      <c r="N31" t="s">
        <v>607</v>
      </c>
      <c r="P31" t="s">
        <v>634</v>
      </c>
      <c r="Q31" t="s">
        <v>809</v>
      </c>
      <c r="U31">
        <f>HYPERLINK("https://www.cookcountyassessoril.gov/pin/16022060300000", "16-02-206-030-0000")</f>
        <v>0</v>
      </c>
      <c r="V31" t="s">
        <v>965</v>
      </c>
    </row>
    <row r="32" spans="1:22">
      <c r="A32">
        <v>31</v>
      </c>
      <c r="B32" t="s">
        <v>51</v>
      </c>
      <c r="C32" t="s">
        <v>232</v>
      </c>
      <c r="D32" t="s">
        <v>413</v>
      </c>
      <c r="I32">
        <v>110000</v>
      </c>
      <c r="K32" t="s">
        <v>457</v>
      </c>
      <c r="L32">
        <f>HYPERLINK("https://maps.cookcountyil.gov/cookviewer/?search=3116 N LOTUS AVE", "3116 N LOTUS AVE")</f>
        <v>0</v>
      </c>
      <c r="N32" t="s">
        <v>607</v>
      </c>
      <c r="P32" t="s">
        <v>635</v>
      </c>
      <c r="Q32" t="s">
        <v>810</v>
      </c>
      <c r="U32">
        <f>HYPERLINK("https://www.cookcountyassessoril.gov/pin/13281020340000", "13-28-102-034-0000")</f>
        <v>0</v>
      </c>
      <c r="V32" t="s">
        <v>965</v>
      </c>
    </row>
    <row r="33" spans="1:22">
      <c r="A33">
        <v>32</v>
      </c>
      <c r="B33" t="s">
        <v>52</v>
      </c>
      <c r="C33" t="s">
        <v>233</v>
      </c>
      <c r="D33" t="s">
        <v>408</v>
      </c>
      <c r="I33">
        <v>183000</v>
      </c>
      <c r="K33" t="s">
        <v>458</v>
      </c>
      <c r="L33">
        <f>HYPERLINK("https://maps.cookcountyil.gov/cookviewer/?search=1357 N ELSTON AVE", "1357 N ELSTON AVE")</f>
        <v>0</v>
      </c>
      <c r="N33" t="s">
        <v>607</v>
      </c>
      <c r="P33" t="s">
        <v>636</v>
      </c>
      <c r="Q33" t="s">
        <v>811</v>
      </c>
      <c r="U33">
        <f>HYPERLINK("https://www.cookcountyassessoril.gov/pin/17051210090000", "17-05-121-009-0000")</f>
        <v>0</v>
      </c>
      <c r="V33" t="s">
        <v>965</v>
      </c>
    </row>
    <row r="34" spans="1:22">
      <c r="A34">
        <v>33</v>
      </c>
      <c r="B34" t="s">
        <v>53</v>
      </c>
      <c r="C34" t="s">
        <v>234</v>
      </c>
      <c r="D34" t="s">
        <v>414</v>
      </c>
      <c r="I34">
        <v>4000</v>
      </c>
      <c r="K34" t="s">
        <v>459</v>
      </c>
      <c r="L34">
        <f>HYPERLINK("https://maps.cookcountyil.gov/cookviewer/?search=37 S WABASH AVE", "37 S WABASH AVE")</f>
        <v>0</v>
      </c>
      <c r="N34" t="s">
        <v>607</v>
      </c>
      <c r="P34" t="s">
        <v>637</v>
      </c>
      <c r="Q34" t="s">
        <v>812</v>
      </c>
      <c r="U34">
        <f>HYPERLINK("https://www.cookcountyassessoril.gov/pin/17151010200000", "17-15-101-020-0000"), =HYPERLINK("https://www.cookcountyassessoril.gov/pin/17151010220000", "17-15-101-022-0000")</f>
        <v>0</v>
      </c>
      <c r="V34" t="s">
        <v>965</v>
      </c>
    </row>
    <row r="35" spans="1:22">
      <c r="A35">
        <v>34</v>
      </c>
      <c r="B35" t="s">
        <v>54</v>
      </c>
      <c r="C35" t="s">
        <v>235</v>
      </c>
      <c r="D35" t="s">
        <v>405</v>
      </c>
      <c r="I35">
        <v>100000</v>
      </c>
      <c r="K35" t="s">
        <v>460</v>
      </c>
      <c r="L35">
        <f>HYPERLINK("https://maps.cookcountyil.gov/cookviewer/?search=400 S WELLS ST", "400 S WELLS ST")</f>
        <v>0</v>
      </c>
      <c r="N35" t="s">
        <v>607</v>
      </c>
      <c r="P35" t="s">
        <v>638</v>
      </c>
      <c r="Q35" t="s">
        <v>813</v>
      </c>
      <c r="U35">
        <f>HYPERLINK("https://www.cookcountyassessoril.gov/pin/17162380110000", "17-16-238-011-0000")</f>
        <v>0</v>
      </c>
      <c r="V35" t="s">
        <v>965</v>
      </c>
    </row>
    <row r="36" spans="1:22">
      <c r="A36">
        <v>35</v>
      </c>
      <c r="B36" t="s">
        <v>55</v>
      </c>
      <c r="C36" t="s">
        <v>236</v>
      </c>
      <c r="D36" t="s">
        <v>404</v>
      </c>
      <c r="I36">
        <v>2000</v>
      </c>
      <c r="K36" t="s">
        <v>461</v>
      </c>
      <c r="L36">
        <f>HYPERLINK("https://maps.cookcountyil.gov/cookviewer/?search=22 E HUBBARD ST", "22 E HUBBARD ST")</f>
        <v>0</v>
      </c>
      <c r="N36" t="s">
        <v>607</v>
      </c>
      <c r="P36" t="s">
        <v>639</v>
      </c>
      <c r="Q36" t="s">
        <v>814</v>
      </c>
      <c r="U36" t="s">
        <v>964</v>
      </c>
      <c r="V36" t="s">
        <v>965</v>
      </c>
    </row>
    <row r="37" spans="1:22">
      <c r="A37">
        <v>36</v>
      </c>
      <c r="B37" t="s">
        <v>26</v>
      </c>
      <c r="C37" t="s">
        <v>237</v>
      </c>
      <c r="D37" t="s">
        <v>405</v>
      </c>
      <c r="I37">
        <v>17301</v>
      </c>
      <c r="K37" t="s">
        <v>432</v>
      </c>
      <c r="L37">
        <f>HYPERLINK("https://maps.cookcountyil.gov/cookviewer/?search=6208 S NORMANDY AVE", "6208 S NORMANDY AVE")</f>
        <v>0</v>
      </c>
      <c r="N37" t="s">
        <v>607</v>
      </c>
      <c r="P37" t="s">
        <v>640</v>
      </c>
      <c r="Q37" t="s">
        <v>815</v>
      </c>
      <c r="U37">
        <f>HYPERLINK("https://www.cookcountyassessoril.gov/pin/19184230220000", "19-18-423-022-0000")</f>
        <v>0</v>
      </c>
      <c r="V37" t="s">
        <v>966</v>
      </c>
    </row>
    <row r="38" spans="1:22">
      <c r="A38">
        <v>37</v>
      </c>
      <c r="B38" t="s">
        <v>26</v>
      </c>
      <c r="C38" t="s">
        <v>238</v>
      </c>
      <c r="D38" t="s">
        <v>405</v>
      </c>
      <c r="I38">
        <v>11848</v>
      </c>
      <c r="K38" t="s">
        <v>432</v>
      </c>
      <c r="L38">
        <f>HYPERLINK("https://maps.cookcountyil.gov/cookviewer/?search=6208 S NORMANDY AVE", "6208 S NORMANDY AVE")</f>
        <v>0</v>
      </c>
      <c r="N38" t="s">
        <v>607</v>
      </c>
      <c r="P38" t="s">
        <v>640</v>
      </c>
      <c r="Q38" t="s">
        <v>816</v>
      </c>
      <c r="U38">
        <f>HYPERLINK("https://www.cookcountyassessoril.gov/pin/19184230220000", "19-18-423-022-0000")</f>
        <v>0</v>
      </c>
      <c r="V38" t="s">
        <v>966</v>
      </c>
    </row>
    <row r="39" spans="1:22">
      <c r="A39">
        <v>38</v>
      </c>
      <c r="B39" t="s">
        <v>56</v>
      </c>
      <c r="C39" t="s">
        <v>239</v>
      </c>
      <c r="D39" t="s">
        <v>405</v>
      </c>
      <c r="I39">
        <v>22917</v>
      </c>
      <c r="K39" t="s">
        <v>462</v>
      </c>
      <c r="L39">
        <f>HYPERLINK("https://maps.cookcountyil.gov/cookviewer/?search=4959 S KILPATRICK AVE", "4959 S KILPATRICK AVE")</f>
        <v>0</v>
      </c>
      <c r="N39" t="s">
        <v>607</v>
      </c>
      <c r="P39" t="s">
        <v>641</v>
      </c>
      <c r="Q39" t="s">
        <v>817</v>
      </c>
      <c r="U39">
        <f>HYPERLINK("https://www.cookcountyassessoril.gov/pin/19101150310000", "19-10-115-031-0000")</f>
        <v>0</v>
      </c>
      <c r="V39" t="s">
        <v>966</v>
      </c>
    </row>
    <row r="40" spans="1:22">
      <c r="A40">
        <v>39</v>
      </c>
      <c r="B40" t="s">
        <v>57</v>
      </c>
      <c r="C40" t="s">
        <v>240</v>
      </c>
      <c r="D40" t="s">
        <v>415</v>
      </c>
      <c r="I40">
        <v>15920</v>
      </c>
      <c r="K40" t="s">
        <v>463</v>
      </c>
      <c r="L40">
        <f>HYPERLINK("https://maps.cookcountyil.gov/cookviewer/?search=222 W MERCHANDISE MART PLZ", "222 W MERCHANDISE MART PLZ")</f>
        <v>0</v>
      </c>
      <c r="N40" t="s">
        <v>607</v>
      </c>
      <c r="P40" t="s">
        <v>642</v>
      </c>
      <c r="Q40" t="s">
        <v>818</v>
      </c>
      <c r="U40" t="s">
        <v>964</v>
      </c>
      <c r="V40" t="s">
        <v>965</v>
      </c>
    </row>
    <row r="41" spans="1:22">
      <c r="A41">
        <v>40</v>
      </c>
      <c r="B41" t="s">
        <v>58</v>
      </c>
      <c r="C41" t="s">
        <v>241</v>
      </c>
      <c r="D41" t="s">
        <v>415</v>
      </c>
      <c r="I41">
        <v>3000</v>
      </c>
      <c r="K41" t="s">
        <v>464</v>
      </c>
      <c r="L41">
        <f>HYPERLINK("https://maps.cookcountyil.gov/cookviewer/?search=3311 W 62ND PL", "3311 W 62ND PL")</f>
        <v>0</v>
      </c>
      <c r="N41" t="s">
        <v>607</v>
      </c>
      <c r="P41" t="s">
        <v>643</v>
      </c>
      <c r="Q41" t="s">
        <v>819</v>
      </c>
      <c r="U41">
        <f>HYPERLINK("https://www.cookcountyassessoril.gov/pin/19144300170000", "19-14-430-017-0000")</f>
        <v>0</v>
      </c>
      <c r="V41" t="s">
        <v>965</v>
      </c>
    </row>
    <row r="42" spans="1:22">
      <c r="A42">
        <v>41</v>
      </c>
      <c r="B42" t="s">
        <v>59</v>
      </c>
      <c r="C42" t="s">
        <v>242</v>
      </c>
      <c r="D42" t="s">
        <v>402</v>
      </c>
      <c r="I42">
        <v>1500</v>
      </c>
      <c r="K42" t="s">
        <v>465</v>
      </c>
      <c r="L42">
        <f>HYPERLINK("https://maps.cookcountyil.gov/cookviewer/?search=1938 W TOUHY AVE", "1938 W TOUHY AVE")</f>
        <v>0</v>
      </c>
      <c r="N42" t="s">
        <v>607</v>
      </c>
      <c r="P42" t="s">
        <v>644</v>
      </c>
      <c r="Q42" t="s">
        <v>791</v>
      </c>
      <c r="U42" t="s">
        <v>964</v>
      </c>
      <c r="V42" t="s">
        <v>965</v>
      </c>
    </row>
    <row r="43" spans="1:22">
      <c r="A43">
        <v>42</v>
      </c>
      <c r="B43" t="s">
        <v>60</v>
      </c>
      <c r="C43" t="s">
        <v>243</v>
      </c>
      <c r="D43" t="s">
        <v>402</v>
      </c>
      <c r="I43">
        <v>1500</v>
      </c>
      <c r="K43" t="s">
        <v>466</v>
      </c>
      <c r="L43">
        <f>HYPERLINK("https://maps.cookcountyil.gov/cookviewer/?search=9438 S PARNELL AVE", "9438 S PARNELL AVE")</f>
        <v>0</v>
      </c>
      <c r="N43" t="s">
        <v>607</v>
      </c>
      <c r="P43" t="s">
        <v>645</v>
      </c>
      <c r="Q43" t="s">
        <v>794</v>
      </c>
      <c r="U43">
        <f>HYPERLINK("https://www.cookcountyassessoril.gov/pin/25043270260000", "25-04-327-026-0000")</f>
        <v>0</v>
      </c>
      <c r="V43" t="s">
        <v>965</v>
      </c>
    </row>
    <row r="44" spans="1:22">
      <c r="A44">
        <v>43</v>
      </c>
      <c r="B44" t="s">
        <v>61</v>
      </c>
      <c r="C44" t="s">
        <v>244</v>
      </c>
      <c r="D44" t="s">
        <v>402</v>
      </c>
      <c r="I44">
        <v>16000</v>
      </c>
      <c r="K44" t="s">
        <v>467</v>
      </c>
      <c r="L44">
        <f>HYPERLINK("https://maps.cookcountyil.gov/cookviewer/?search=1821 W OAKDALE AVE", "1821 W OAKDALE AVE")</f>
        <v>0</v>
      </c>
      <c r="N44" t="s">
        <v>607</v>
      </c>
      <c r="P44" t="s">
        <v>646</v>
      </c>
      <c r="Q44" t="s">
        <v>820</v>
      </c>
      <c r="U44">
        <f>HYPERLINK("https://www.cookcountyassessoril.gov/pin/14302220370000", "14-30-222-037-0000")</f>
        <v>0</v>
      </c>
      <c r="V44" t="s">
        <v>966</v>
      </c>
    </row>
    <row r="45" spans="1:22">
      <c r="A45">
        <v>44</v>
      </c>
      <c r="B45" t="s">
        <v>62</v>
      </c>
      <c r="C45" t="s">
        <v>245</v>
      </c>
      <c r="D45" t="s">
        <v>416</v>
      </c>
      <c r="I45">
        <v>100</v>
      </c>
      <c r="K45" t="s">
        <v>468</v>
      </c>
      <c r="L45">
        <f>HYPERLINK("https://maps.cookcountyil.gov/cookviewer/?search=11325 S LANGLEY AVE", "11325 S LANGLEY AVE")</f>
        <v>0</v>
      </c>
      <c r="N45" t="s">
        <v>607</v>
      </c>
      <c r="P45" t="s">
        <v>647</v>
      </c>
      <c r="Q45" t="s">
        <v>821</v>
      </c>
      <c r="U45" t="s">
        <v>964</v>
      </c>
      <c r="V45" t="s">
        <v>965</v>
      </c>
    </row>
    <row r="46" spans="1:22">
      <c r="A46">
        <v>45</v>
      </c>
      <c r="B46" t="s">
        <v>63</v>
      </c>
      <c r="C46" t="s">
        <v>246</v>
      </c>
      <c r="D46" t="s">
        <v>417</v>
      </c>
      <c r="I46">
        <v>50000</v>
      </c>
      <c r="K46" t="s">
        <v>469</v>
      </c>
      <c r="L46">
        <f>HYPERLINK("https://maps.cookcountyil.gov/cookviewer/?search=177 N WELLS ST", "177 N WELLS ST")</f>
        <v>0</v>
      </c>
      <c r="N46" t="s">
        <v>607</v>
      </c>
      <c r="P46" t="s">
        <v>648</v>
      </c>
      <c r="Q46" t="s">
        <v>822</v>
      </c>
      <c r="U46">
        <f>HYPERLINK("https://www.cookcountyassessoril.gov/pin/17094320140000", "17-09-432-014-0000")</f>
        <v>0</v>
      </c>
      <c r="V46" t="s">
        <v>965</v>
      </c>
    </row>
    <row r="47" spans="1:22">
      <c r="A47">
        <v>46</v>
      </c>
      <c r="B47" t="s">
        <v>64</v>
      </c>
      <c r="C47" t="s">
        <v>247</v>
      </c>
      <c r="D47" t="s">
        <v>418</v>
      </c>
      <c r="I47">
        <v>1000</v>
      </c>
      <c r="K47" t="s">
        <v>470</v>
      </c>
      <c r="L47">
        <f>HYPERLINK("https://maps.cookcountyil.gov/cookviewer/?search=1310 N RITCHIE CT", "1310 N RITCHIE CT")</f>
        <v>0</v>
      </c>
      <c r="N47" t="s">
        <v>607</v>
      </c>
      <c r="P47" t="s">
        <v>649</v>
      </c>
      <c r="Q47" t="s">
        <v>823</v>
      </c>
      <c r="U47">
        <f>HYPERLINK("https://www.cookcountyassessoril.gov/pin/17031070191089", "17-03-107-019-1089"), =HYPERLINK("https://www.cookcountyassessoril.gov/pin/17031070191034", "17-03-107-019-1034"), =HYPERLINK("https://www.cookcountyassessoril.gov/pin/17031070191007", "17-03-107-019-1007")</f>
        <v>0</v>
      </c>
      <c r="V47" t="s">
        <v>965</v>
      </c>
    </row>
    <row r="48" spans="1:22">
      <c r="A48">
        <v>47</v>
      </c>
      <c r="B48" t="s">
        <v>65</v>
      </c>
      <c r="C48" t="s">
        <v>248</v>
      </c>
      <c r="D48" t="s">
        <v>404</v>
      </c>
      <c r="I48">
        <v>10000</v>
      </c>
      <c r="K48" t="s">
        <v>471</v>
      </c>
      <c r="L48">
        <f>HYPERLINK("https://maps.cookcountyil.gov/cookviewer/?search=11341 S AVENUE J", "11341 S AVENUE J")</f>
        <v>0</v>
      </c>
      <c r="N48" t="s">
        <v>607</v>
      </c>
      <c r="P48" t="s">
        <v>650</v>
      </c>
      <c r="Q48" t="s">
        <v>824</v>
      </c>
      <c r="U48">
        <f>HYPERLINK("https://www.cookcountyassessoril.gov/pin/26173280820000", "26-17-328-082-0000")</f>
        <v>0</v>
      </c>
      <c r="V48" t="s">
        <v>966</v>
      </c>
    </row>
    <row r="49" spans="1:22">
      <c r="A49">
        <v>48</v>
      </c>
      <c r="B49" t="s">
        <v>66</v>
      </c>
      <c r="C49" t="s">
        <v>249</v>
      </c>
      <c r="D49" t="s">
        <v>405</v>
      </c>
      <c r="I49">
        <v>10000</v>
      </c>
      <c r="K49" t="s">
        <v>472</v>
      </c>
      <c r="L49">
        <f>HYPERLINK("https://maps.cookcountyil.gov/cookviewer/?search=4854 W MONTANA ST", "4854 W MONTANA ST")</f>
        <v>0</v>
      </c>
      <c r="N49" t="s">
        <v>607</v>
      </c>
      <c r="P49" t="s">
        <v>651</v>
      </c>
      <c r="Q49" t="s">
        <v>825</v>
      </c>
      <c r="U49" t="s">
        <v>964</v>
      </c>
      <c r="V49" t="s">
        <v>965</v>
      </c>
    </row>
    <row r="50" spans="1:22">
      <c r="A50">
        <v>49</v>
      </c>
      <c r="B50" t="s">
        <v>67</v>
      </c>
      <c r="C50" t="s">
        <v>250</v>
      </c>
      <c r="D50" t="s">
        <v>419</v>
      </c>
      <c r="I50">
        <v>4000</v>
      </c>
      <c r="K50" t="s">
        <v>473</v>
      </c>
      <c r="L50">
        <f>HYPERLINK("https://maps.cookcountyil.gov/cookviewer/?search=2215 S KILDARE AVE", "2215 S KILDARE AVE")</f>
        <v>0</v>
      </c>
      <c r="N50" t="s">
        <v>607</v>
      </c>
      <c r="P50" t="s">
        <v>652</v>
      </c>
      <c r="Q50" t="s">
        <v>826</v>
      </c>
      <c r="U50">
        <f>HYPERLINK("https://www.cookcountyassessoril.gov/pin/16272030100000", "16-27-203-010-0000"), =HYPERLINK("https://www.cookcountyassessoril.gov/pin/16272030210000", "16-27-203-021-0000")</f>
        <v>0</v>
      </c>
      <c r="V50" t="s">
        <v>965</v>
      </c>
    </row>
    <row r="51" spans="1:22">
      <c r="A51">
        <v>50</v>
      </c>
      <c r="B51" t="s">
        <v>68</v>
      </c>
      <c r="C51" t="s">
        <v>251</v>
      </c>
      <c r="D51" t="s">
        <v>405</v>
      </c>
      <c r="I51">
        <v>100</v>
      </c>
      <c r="K51" t="s">
        <v>474</v>
      </c>
      <c r="L51">
        <f>HYPERLINK("https://maps.cookcountyil.gov/cookviewer/?search=1459 W 72ND ST", "1459 W 72ND ST")</f>
        <v>0</v>
      </c>
      <c r="N51" t="s">
        <v>607</v>
      </c>
      <c r="P51" t="s">
        <v>653</v>
      </c>
      <c r="Q51" t="s">
        <v>827</v>
      </c>
      <c r="U51">
        <f>HYPERLINK("https://www.cookcountyassessoril.gov/pin/20291110080000", "20-29-111-008-0000")</f>
        <v>0</v>
      </c>
      <c r="V51" t="s">
        <v>965</v>
      </c>
    </row>
    <row r="52" spans="1:22">
      <c r="A52">
        <v>51</v>
      </c>
      <c r="B52" t="s">
        <v>69</v>
      </c>
      <c r="C52" t="s">
        <v>252</v>
      </c>
      <c r="D52" t="s">
        <v>402</v>
      </c>
      <c r="I52">
        <v>9600</v>
      </c>
      <c r="K52" t="s">
        <v>475</v>
      </c>
      <c r="L52">
        <f>HYPERLINK("https://maps.cookcountyil.gov/cookviewer/?search=1821 W FARWELL AVE", "1821 W FARWELL AVE")</f>
        <v>0</v>
      </c>
      <c r="N52" t="s">
        <v>607</v>
      </c>
      <c r="P52" t="s">
        <v>654</v>
      </c>
      <c r="Q52" t="s">
        <v>828</v>
      </c>
      <c r="U52">
        <f>HYPERLINK("https://www.cookcountyassessoril.gov/pin/11312240110000", "11-31-224-011-0000")</f>
        <v>0</v>
      </c>
      <c r="V52" t="s">
        <v>965</v>
      </c>
    </row>
    <row r="53" spans="1:22">
      <c r="A53">
        <v>52</v>
      </c>
      <c r="B53" t="s">
        <v>70</v>
      </c>
      <c r="C53" t="s">
        <v>253</v>
      </c>
      <c r="D53" t="s">
        <v>410</v>
      </c>
      <c r="I53">
        <v>26000</v>
      </c>
      <c r="K53" t="s">
        <v>476</v>
      </c>
      <c r="L53">
        <f>HYPERLINK("https://maps.cookcountyil.gov/cookviewer/?search=3537 W LEXINGTON ST", "3537 W LEXINGTON ST")</f>
        <v>0</v>
      </c>
      <c r="N53" t="s">
        <v>607</v>
      </c>
      <c r="P53" t="s">
        <v>655</v>
      </c>
      <c r="Q53" t="s">
        <v>829</v>
      </c>
      <c r="U53">
        <f>HYPERLINK("https://www.cookcountyassessoril.gov/pin/16144080090000", "16-14-408-009-0000")</f>
        <v>0</v>
      </c>
      <c r="V53" t="s">
        <v>965</v>
      </c>
    </row>
    <row r="54" spans="1:22">
      <c r="A54">
        <v>53</v>
      </c>
      <c r="B54" t="s">
        <v>71</v>
      </c>
      <c r="C54" t="s">
        <v>254</v>
      </c>
      <c r="D54" t="s">
        <v>420</v>
      </c>
      <c r="I54">
        <v>1800</v>
      </c>
      <c r="K54" t="s">
        <v>477</v>
      </c>
      <c r="L54">
        <f>HYPERLINK("https://maps.cookcountyil.gov/cookviewer/?search=2546 W THOMAS ST", "2546 W THOMAS ST")</f>
        <v>0</v>
      </c>
      <c r="N54" t="s">
        <v>607</v>
      </c>
      <c r="P54" t="s">
        <v>656</v>
      </c>
      <c r="Q54" t="s">
        <v>830</v>
      </c>
      <c r="U54" t="s">
        <v>964</v>
      </c>
      <c r="V54" t="s">
        <v>965</v>
      </c>
    </row>
    <row r="55" spans="1:22">
      <c r="A55">
        <v>54</v>
      </c>
      <c r="B55" t="s">
        <v>72</v>
      </c>
      <c r="C55" t="s">
        <v>255</v>
      </c>
      <c r="D55" t="s">
        <v>402</v>
      </c>
      <c r="I55">
        <v>12500</v>
      </c>
      <c r="K55" t="s">
        <v>478</v>
      </c>
      <c r="L55">
        <f>HYPERLINK("https://maps.cookcountyil.gov/cookviewer/?search=6315 N AVERS AVE", "6315 N AVERS AVE")</f>
        <v>0</v>
      </c>
      <c r="N55" t="s">
        <v>607</v>
      </c>
      <c r="P55" t="s">
        <v>657</v>
      </c>
      <c r="Q55" t="s">
        <v>831</v>
      </c>
      <c r="U55">
        <f>HYPERLINK("https://www.cookcountyassessoril.gov/pin/13021020170000", "13-02-102-017-0000")</f>
        <v>0</v>
      </c>
      <c r="V55" t="s">
        <v>966</v>
      </c>
    </row>
    <row r="56" spans="1:22">
      <c r="A56">
        <v>55</v>
      </c>
      <c r="B56" t="s">
        <v>73</v>
      </c>
      <c r="C56" t="s">
        <v>256</v>
      </c>
      <c r="D56" t="s">
        <v>402</v>
      </c>
      <c r="I56">
        <v>2300</v>
      </c>
      <c r="K56" t="s">
        <v>479</v>
      </c>
      <c r="L56">
        <f>HYPERLINK("https://maps.cookcountyil.gov/cookviewer/?search=2905 N KEATING AVE", "2905 N KEATING AVE")</f>
        <v>0</v>
      </c>
      <c r="N56" t="s">
        <v>607</v>
      </c>
      <c r="P56" t="s">
        <v>658</v>
      </c>
      <c r="Q56" t="s">
        <v>832</v>
      </c>
      <c r="U56" t="s">
        <v>964</v>
      </c>
      <c r="V56" t="s">
        <v>965</v>
      </c>
    </row>
    <row r="57" spans="1:22">
      <c r="A57">
        <v>56</v>
      </c>
      <c r="B57" t="s">
        <v>74</v>
      </c>
      <c r="C57" t="s">
        <v>257</v>
      </c>
      <c r="D57" t="s">
        <v>404</v>
      </c>
      <c r="I57">
        <v>38045</v>
      </c>
      <c r="K57" t="s">
        <v>480</v>
      </c>
      <c r="L57">
        <f>HYPERLINK("https://maps.cookcountyil.gov/cookviewer/?search=5026 S CAMPBELL AVE", "5026 S CAMPBELL AVE")</f>
        <v>0</v>
      </c>
      <c r="N57" t="s">
        <v>607</v>
      </c>
      <c r="P57" t="s">
        <v>659</v>
      </c>
      <c r="Q57" t="s">
        <v>833</v>
      </c>
      <c r="U57">
        <f>HYPERLINK("https://www.cookcountyassessoril.gov/pin/19122220280000", "19-12-222-028-0000")</f>
        <v>0</v>
      </c>
      <c r="V57" t="s">
        <v>966</v>
      </c>
    </row>
    <row r="58" spans="1:22">
      <c r="A58">
        <v>57</v>
      </c>
      <c r="B58" t="s">
        <v>75</v>
      </c>
      <c r="C58" t="s">
        <v>258</v>
      </c>
      <c r="D58" t="s">
        <v>421</v>
      </c>
      <c r="I58">
        <v>3000</v>
      </c>
      <c r="K58" t="s">
        <v>481</v>
      </c>
      <c r="L58">
        <f>HYPERLINK("https://maps.cookcountyil.gov/cookviewer/?search=5707 S WENTWORTH AVE", "5707 S WENTWORTH AVE")</f>
        <v>0</v>
      </c>
      <c r="N58" t="s">
        <v>607</v>
      </c>
      <c r="P58" t="s">
        <v>660</v>
      </c>
      <c r="Q58" t="s">
        <v>834</v>
      </c>
      <c r="U58" t="s">
        <v>964</v>
      </c>
      <c r="V58" t="s">
        <v>965</v>
      </c>
    </row>
    <row r="59" spans="1:22">
      <c r="A59">
        <v>58</v>
      </c>
      <c r="B59" t="s">
        <v>74</v>
      </c>
      <c r="C59" t="s">
        <v>259</v>
      </c>
      <c r="D59" t="s">
        <v>404</v>
      </c>
      <c r="I59">
        <v>38045</v>
      </c>
      <c r="K59" t="s">
        <v>480</v>
      </c>
      <c r="L59">
        <f>HYPERLINK("https://maps.cookcountyil.gov/cookviewer/?search=5026 S CAMPBELL AVE", "5026 S CAMPBELL AVE")</f>
        <v>0</v>
      </c>
      <c r="N59" t="s">
        <v>607</v>
      </c>
      <c r="P59" t="s">
        <v>659</v>
      </c>
      <c r="Q59" t="s">
        <v>835</v>
      </c>
      <c r="U59">
        <f>HYPERLINK("https://www.cookcountyassessoril.gov/pin/19122220280000", "19-12-222-028-0000")</f>
        <v>0</v>
      </c>
      <c r="V59" t="s">
        <v>966</v>
      </c>
    </row>
    <row r="60" spans="1:22">
      <c r="A60">
        <v>59</v>
      </c>
      <c r="B60" t="s">
        <v>76</v>
      </c>
      <c r="C60" t="s">
        <v>260</v>
      </c>
      <c r="D60" t="s">
        <v>402</v>
      </c>
      <c r="I60">
        <v>13022</v>
      </c>
      <c r="K60" t="s">
        <v>482</v>
      </c>
      <c r="L60">
        <f>HYPERLINK("https://maps.cookcountyil.gov/cookviewer/?search=2117 N MELVINA AVE", "2117 N MELVINA AVE")</f>
        <v>0</v>
      </c>
      <c r="N60" t="s">
        <v>607</v>
      </c>
      <c r="P60" t="s">
        <v>661</v>
      </c>
      <c r="Q60" t="s">
        <v>836</v>
      </c>
      <c r="U60">
        <f>HYPERLINK("https://www.cookcountyassessoril.gov/pin/13321200200000", "13-32-120-020-0000")</f>
        <v>0</v>
      </c>
      <c r="V60" t="s">
        <v>966</v>
      </c>
    </row>
    <row r="61" spans="1:22">
      <c r="A61">
        <v>60</v>
      </c>
      <c r="B61" t="s">
        <v>77</v>
      </c>
      <c r="C61" t="s">
        <v>261</v>
      </c>
      <c r="D61" t="s">
        <v>410</v>
      </c>
      <c r="I61">
        <v>1500</v>
      </c>
      <c r="K61" t="s">
        <v>483</v>
      </c>
      <c r="L61">
        <f>HYPERLINK("https://maps.cookcountyil.gov/cookviewer/?search=6453 N NEVA AVE", "6453 N NEVA AVE")</f>
        <v>0</v>
      </c>
      <c r="N61" t="s">
        <v>607</v>
      </c>
      <c r="P61" t="s">
        <v>662</v>
      </c>
      <c r="Q61" t="s">
        <v>837</v>
      </c>
      <c r="U61">
        <f>HYPERLINK("https://www.cookcountyassessoril.gov/pin/10313070040000", "10-31-307-004-0000")</f>
        <v>0</v>
      </c>
      <c r="V61" t="s">
        <v>966</v>
      </c>
    </row>
    <row r="62" spans="1:22">
      <c r="A62">
        <v>61</v>
      </c>
      <c r="B62" t="s">
        <v>78</v>
      </c>
      <c r="C62" t="s">
        <v>262</v>
      </c>
      <c r="D62" t="s">
        <v>420</v>
      </c>
      <c r="I62">
        <v>15000</v>
      </c>
      <c r="K62" t="s">
        <v>484</v>
      </c>
      <c r="L62">
        <f>HYPERLINK("https://maps.cookcountyil.gov/cookviewer/?search=2923 E 97TH ST", "2923 E 97TH ST")</f>
        <v>0</v>
      </c>
      <c r="N62" t="s">
        <v>607</v>
      </c>
      <c r="P62" t="s">
        <v>663</v>
      </c>
      <c r="Q62" t="s">
        <v>838</v>
      </c>
      <c r="U62">
        <f>HYPERLINK("https://www.cookcountyassessoril.gov/pin/26061290090000", "26-06-129-009-0000")</f>
        <v>0</v>
      </c>
      <c r="V62" t="s">
        <v>965</v>
      </c>
    </row>
    <row r="63" spans="1:22">
      <c r="A63">
        <v>62</v>
      </c>
      <c r="B63" t="s">
        <v>79</v>
      </c>
      <c r="C63" t="s">
        <v>263</v>
      </c>
      <c r="D63" t="s">
        <v>414</v>
      </c>
      <c r="I63">
        <v>85000</v>
      </c>
      <c r="K63" t="s">
        <v>485</v>
      </c>
      <c r="L63">
        <f>HYPERLINK("https://maps.cookcountyil.gov/cookviewer/?search=300 S WACKER DR", "300 S WACKER DR")</f>
        <v>0</v>
      </c>
      <c r="N63" t="s">
        <v>607</v>
      </c>
      <c r="P63" t="s">
        <v>664</v>
      </c>
      <c r="Q63" t="s">
        <v>839</v>
      </c>
      <c r="U63" t="s">
        <v>964</v>
      </c>
      <c r="V63" t="s">
        <v>965</v>
      </c>
    </row>
    <row r="64" spans="1:22">
      <c r="A64">
        <v>63</v>
      </c>
      <c r="B64" t="s">
        <v>80</v>
      </c>
      <c r="C64" t="s">
        <v>264</v>
      </c>
      <c r="D64" t="s">
        <v>405</v>
      </c>
      <c r="I64">
        <v>8008</v>
      </c>
      <c r="K64" t="s">
        <v>486</v>
      </c>
      <c r="L64">
        <f>HYPERLINK("https://maps.cookcountyil.gov/cookviewer/?search=8358 S KARLOV AVE", "8358 S KARLOV AVE")</f>
        <v>0</v>
      </c>
      <c r="N64" t="s">
        <v>607</v>
      </c>
      <c r="P64" t="s">
        <v>665</v>
      </c>
      <c r="Q64" t="s">
        <v>840</v>
      </c>
      <c r="U64">
        <f>HYPERLINK("https://www.cookcountyassessoril.gov/pin/19344050180000", "19-34-405-018-0000")</f>
        <v>0</v>
      </c>
      <c r="V64" t="s">
        <v>966</v>
      </c>
    </row>
    <row r="65" spans="1:22">
      <c r="A65">
        <v>64</v>
      </c>
      <c r="B65" t="s">
        <v>81</v>
      </c>
      <c r="C65" t="s">
        <v>265</v>
      </c>
      <c r="D65" t="s">
        <v>406</v>
      </c>
      <c r="I65">
        <v>29500</v>
      </c>
      <c r="K65" t="s">
        <v>487</v>
      </c>
      <c r="L65">
        <f>HYPERLINK("https://maps.cookcountyil.gov/cookviewer/?search=3427 N HARDING AVE", "3427 N HARDING AVE")</f>
        <v>0</v>
      </c>
      <c r="N65" t="s">
        <v>607</v>
      </c>
      <c r="P65" t="s">
        <v>666</v>
      </c>
      <c r="Q65" t="s">
        <v>841</v>
      </c>
      <c r="U65">
        <f>HYPERLINK("https://www.cookcountyassessoril.gov/pin/13233100100000", "13-23-310-010-0000")</f>
        <v>0</v>
      </c>
      <c r="V65" t="s">
        <v>965</v>
      </c>
    </row>
    <row r="66" spans="1:22">
      <c r="A66">
        <v>65</v>
      </c>
      <c r="B66" t="s">
        <v>82</v>
      </c>
      <c r="C66" t="s">
        <v>266</v>
      </c>
      <c r="D66" t="s">
        <v>406</v>
      </c>
      <c r="I66">
        <v>7000</v>
      </c>
      <c r="K66" t="s">
        <v>488</v>
      </c>
      <c r="L66">
        <f>HYPERLINK("https://maps.cookcountyil.gov/cookviewer/?search=4535 N FRANCISCO AVE", "4535 N FRANCISCO AVE")</f>
        <v>0</v>
      </c>
      <c r="N66" t="s">
        <v>607</v>
      </c>
      <c r="P66" t="s">
        <v>667</v>
      </c>
      <c r="Q66" t="s">
        <v>842</v>
      </c>
      <c r="U66">
        <f>HYPERLINK("https://www.cookcountyassessoril.gov/pin/13131230080000", "13-13-123-008-0000")</f>
        <v>0</v>
      </c>
      <c r="V66" t="s">
        <v>965</v>
      </c>
    </row>
    <row r="67" spans="1:22">
      <c r="A67">
        <v>66</v>
      </c>
      <c r="B67" t="s">
        <v>37</v>
      </c>
      <c r="C67" t="s">
        <v>267</v>
      </c>
      <c r="D67" t="s">
        <v>405</v>
      </c>
      <c r="I67">
        <v>1500</v>
      </c>
      <c r="K67" t="s">
        <v>443</v>
      </c>
      <c r="L67">
        <f>HYPERLINK("https://maps.cookcountyil.gov/cookviewer/?search=11301 S PARNELL AVE", "11301 S PARNELL AVE")</f>
        <v>0</v>
      </c>
      <c r="N67" t="s">
        <v>607</v>
      </c>
      <c r="P67" t="s">
        <v>621</v>
      </c>
      <c r="Q67" t="s">
        <v>843</v>
      </c>
      <c r="U67">
        <f>HYPERLINK("https://www.cookcountyassessoril.gov/pin/25211210010000", "25-21-121-001-0000")</f>
        <v>0</v>
      </c>
      <c r="V67" t="s">
        <v>965</v>
      </c>
    </row>
    <row r="68" spans="1:22">
      <c r="A68">
        <v>67</v>
      </c>
      <c r="B68" t="s">
        <v>83</v>
      </c>
      <c r="C68" t="s">
        <v>268</v>
      </c>
      <c r="D68" t="s">
        <v>405</v>
      </c>
      <c r="I68">
        <v>6850</v>
      </c>
      <c r="K68" t="s">
        <v>489</v>
      </c>
      <c r="L68">
        <f>HYPERLINK("https://maps.cookcountyil.gov/cookviewer/?search=353 N CLARK ST", "353 N CLARK ST")</f>
        <v>0</v>
      </c>
      <c r="N68" t="s">
        <v>607</v>
      </c>
      <c r="P68" t="s">
        <v>668</v>
      </c>
      <c r="Q68" t="s">
        <v>844</v>
      </c>
      <c r="U68">
        <f>HYPERLINK("https://www.cookcountyassessoril.gov/pin/17094080120000", "17-09-408-012-0000"), =HYPERLINK("https://www.cookcountyassessoril.gov/pin/17094080140000", "17-09-408-014-0000")</f>
        <v>0</v>
      </c>
      <c r="V68" t="s">
        <v>965</v>
      </c>
    </row>
    <row r="69" spans="1:22">
      <c r="A69">
        <v>68</v>
      </c>
      <c r="B69" t="s">
        <v>84</v>
      </c>
      <c r="C69" t="s">
        <v>269</v>
      </c>
      <c r="D69" t="s">
        <v>412</v>
      </c>
      <c r="I69">
        <v>220000</v>
      </c>
      <c r="K69" t="s">
        <v>490</v>
      </c>
      <c r="L69">
        <f>HYPERLINK("https://maps.cookcountyil.gov/cookviewer/?search=233 S WACKER DR", "233 S WACKER DR")</f>
        <v>0</v>
      </c>
      <c r="N69" t="s">
        <v>607</v>
      </c>
      <c r="P69" t="s">
        <v>669</v>
      </c>
      <c r="Q69" t="s">
        <v>845</v>
      </c>
      <c r="U69">
        <f>HYPERLINK("https://www.cookcountyassessoril.gov/pin/17162160090000", "17-16-216-009-0000")</f>
        <v>0</v>
      </c>
      <c r="V69" t="s">
        <v>965</v>
      </c>
    </row>
    <row r="70" spans="1:22">
      <c r="A70">
        <v>69</v>
      </c>
      <c r="B70" t="s">
        <v>85</v>
      </c>
      <c r="C70" t="s">
        <v>270</v>
      </c>
      <c r="D70" t="s">
        <v>422</v>
      </c>
      <c r="I70">
        <v>25000</v>
      </c>
      <c r="K70" t="s">
        <v>491</v>
      </c>
      <c r="L70">
        <f>HYPERLINK("https://maps.cookcountyil.gov/cookviewer/?search=415 E NORTH WATER ST", "415 E NORTH WATER ST")</f>
        <v>0</v>
      </c>
      <c r="N70" t="s">
        <v>607</v>
      </c>
      <c r="P70" t="s">
        <v>670</v>
      </c>
      <c r="Q70" t="s">
        <v>846</v>
      </c>
      <c r="U70" t="s">
        <v>964</v>
      </c>
      <c r="V70" t="s">
        <v>965</v>
      </c>
    </row>
    <row r="71" spans="1:22">
      <c r="A71">
        <v>70</v>
      </c>
      <c r="B71" t="s">
        <v>59</v>
      </c>
      <c r="C71" t="s">
        <v>271</v>
      </c>
      <c r="D71" t="s">
        <v>405</v>
      </c>
      <c r="I71">
        <v>19022</v>
      </c>
      <c r="K71" t="s">
        <v>465</v>
      </c>
      <c r="L71">
        <f>HYPERLINK("https://maps.cookcountyil.gov/cookviewer/?search=1938 W TOUHY AVE", "1938 W TOUHY AVE")</f>
        <v>0</v>
      </c>
      <c r="N71" t="s">
        <v>607</v>
      </c>
      <c r="P71" t="s">
        <v>644</v>
      </c>
      <c r="Q71" t="s">
        <v>847</v>
      </c>
      <c r="U71" t="s">
        <v>964</v>
      </c>
      <c r="V71" t="s">
        <v>966</v>
      </c>
    </row>
    <row r="72" spans="1:22">
      <c r="A72">
        <v>71</v>
      </c>
      <c r="B72" t="s">
        <v>86</v>
      </c>
      <c r="C72" t="s">
        <v>272</v>
      </c>
      <c r="D72" t="s">
        <v>405</v>
      </c>
      <c r="I72">
        <v>21000</v>
      </c>
      <c r="K72" t="s">
        <v>492</v>
      </c>
      <c r="L72">
        <f>HYPERLINK("https://maps.cookcountyil.gov/cookviewer/?search=2541 W 39TH PL", "2541 W 39TH PL")</f>
        <v>0</v>
      </c>
      <c r="N72" t="s">
        <v>607</v>
      </c>
      <c r="P72" t="s">
        <v>671</v>
      </c>
      <c r="Q72" t="s">
        <v>848</v>
      </c>
      <c r="U72">
        <f>HYPERLINK("https://www.cookcountyassessoril.gov/pin/19012030130000", "19-01-203-013-0000")</f>
        <v>0</v>
      </c>
      <c r="V72" t="s">
        <v>966</v>
      </c>
    </row>
    <row r="73" spans="1:22">
      <c r="A73">
        <v>72</v>
      </c>
      <c r="B73" t="s">
        <v>87</v>
      </c>
      <c r="C73" t="s">
        <v>273</v>
      </c>
      <c r="D73" t="s">
        <v>410</v>
      </c>
      <c r="I73">
        <v>6550</v>
      </c>
      <c r="K73" t="s">
        <v>493</v>
      </c>
      <c r="L73">
        <f>HYPERLINK("https://maps.cookcountyil.gov/cookviewer/?search=315 W 111TH ST", "315 W 111TH ST")</f>
        <v>0</v>
      </c>
      <c r="N73" t="s">
        <v>607</v>
      </c>
      <c r="P73" t="s">
        <v>672</v>
      </c>
      <c r="Q73" t="s">
        <v>849</v>
      </c>
      <c r="U73">
        <f>HYPERLINK("https://www.cookcountyassessoril.gov/pin/25212000100000", "25-21-200-010-0000")</f>
        <v>0</v>
      </c>
      <c r="V73" t="s">
        <v>965</v>
      </c>
    </row>
    <row r="74" spans="1:22">
      <c r="A74">
        <v>73</v>
      </c>
      <c r="B74" t="s">
        <v>88</v>
      </c>
      <c r="C74" t="s">
        <v>274</v>
      </c>
      <c r="D74" t="s">
        <v>414</v>
      </c>
      <c r="I74">
        <v>5200</v>
      </c>
      <c r="K74" t="s">
        <v>494</v>
      </c>
      <c r="L74">
        <f>HYPERLINK("https://maps.cookcountyil.gov/cookviewer/?search=541 N FAIRBANKS CT", "541 N FAIRBANKS CT")</f>
        <v>0</v>
      </c>
      <c r="N74" t="s">
        <v>607</v>
      </c>
      <c r="P74" t="s">
        <v>673</v>
      </c>
      <c r="Q74" t="s">
        <v>850</v>
      </c>
      <c r="U74">
        <f>HYPERLINK("https://www.cookcountyassessoril.gov/pin/17102100270000", "17-10-210-027-0000"), =HYPERLINK("https://www.cookcountyassessoril.gov/pin/17102100260000", "17-10-210-026-0000")</f>
        <v>0</v>
      </c>
      <c r="V74" t="s">
        <v>965</v>
      </c>
    </row>
    <row r="75" spans="1:22">
      <c r="A75">
        <v>74</v>
      </c>
      <c r="B75" t="s">
        <v>89</v>
      </c>
      <c r="C75" t="s">
        <v>275</v>
      </c>
      <c r="D75" t="s">
        <v>410</v>
      </c>
      <c r="I75">
        <v>25000</v>
      </c>
      <c r="K75" t="s">
        <v>495</v>
      </c>
      <c r="L75">
        <f>HYPERLINK("https://maps.cookcountyil.gov/cookviewer/?search=6922 N LAKEWOOD AVE", "6922 N LAKEWOOD AVE")</f>
        <v>0</v>
      </c>
      <c r="N75" t="s">
        <v>607</v>
      </c>
      <c r="P75" t="s">
        <v>674</v>
      </c>
      <c r="Q75" t="s">
        <v>829</v>
      </c>
      <c r="U75" t="s">
        <v>964</v>
      </c>
      <c r="V75" t="s">
        <v>965</v>
      </c>
    </row>
    <row r="76" spans="1:22">
      <c r="A76">
        <v>75</v>
      </c>
      <c r="B76" t="s">
        <v>90</v>
      </c>
      <c r="C76" t="s">
        <v>276</v>
      </c>
      <c r="D76" t="s">
        <v>406</v>
      </c>
      <c r="I76">
        <v>322991</v>
      </c>
      <c r="K76" t="s">
        <v>496</v>
      </c>
      <c r="L76">
        <f>HYPERLINK("https://maps.cookcountyil.gov/cookviewer/?search=1160 N LARRABEE ST", "1160 N LARRABEE ST")</f>
        <v>0</v>
      </c>
      <c r="N76" t="s">
        <v>607</v>
      </c>
      <c r="P76" t="s">
        <v>675</v>
      </c>
      <c r="Q76" t="s">
        <v>851</v>
      </c>
      <c r="U76">
        <f>HYPERLINK("https://www.cookcountyassessoril.gov/pin/17043030200000", "17-04-303-020-0000"), =HYPERLINK("https://www.cookcountyassessoril.gov/pin/17043030110000", "17-04-303-011-0000")</f>
        <v>0</v>
      </c>
      <c r="V76" t="s">
        <v>965</v>
      </c>
    </row>
    <row r="77" spans="1:22">
      <c r="A77">
        <v>76</v>
      </c>
      <c r="B77" t="s">
        <v>91</v>
      </c>
      <c r="C77" t="s">
        <v>277</v>
      </c>
      <c r="D77" t="s">
        <v>410</v>
      </c>
      <c r="I77">
        <v>1400</v>
      </c>
      <c r="K77" t="s">
        <v>497</v>
      </c>
      <c r="L77">
        <f>HYPERLINK("https://maps.cookcountyil.gov/cookviewer/?search=810 E 79TH ST", "810 E 79TH ST")</f>
        <v>0</v>
      </c>
      <c r="N77" t="s">
        <v>607</v>
      </c>
      <c r="P77" t="s">
        <v>676</v>
      </c>
      <c r="Q77" t="s">
        <v>852</v>
      </c>
      <c r="U77" t="s">
        <v>964</v>
      </c>
      <c r="V77" t="s">
        <v>965</v>
      </c>
    </row>
    <row r="78" spans="1:22">
      <c r="A78">
        <v>77</v>
      </c>
      <c r="B78" t="s">
        <v>92</v>
      </c>
      <c r="C78" t="s">
        <v>278</v>
      </c>
      <c r="D78" t="s">
        <v>405</v>
      </c>
      <c r="I78">
        <v>33473</v>
      </c>
      <c r="K78" t="s">
        <v>498</v>
      </c>
      <c r="L78">
        <f>HYPERLINK("https://maps.cookcountyil.gov/cookviewer/?search=4333 W 77TH PL", "4333 W 77TH PL")</f>
        <v>0</v>
      </c>
      <c r="N78" t="s">
        <v>607</v>
      </c>
      <c r="P78" t="s">
        <v>677</v>
      </c>
      <c r="Q78" t="s">
        <v>853</v>
      </c>
      <c r="U78">
        <f>HYPERLINK("https://www.cookcountyassessoril.gov/pin/19274080080000", "19-27-408-008-0000")</f>
        <v>0</v>
      </c>
      <c r="V78" t="s">
        <v>966</v>
      </c>
    </row>
    <row r="79" spans="1:22">
      <c r="A79">
        <v>78</v>
      </c>
      <c r="B79" t="s">
        <v>93</v>
      </c>
      <c r="C79" t="s">
        <v>279</v>
      </c>
      <c r="D79" t="s">
        <v>406</v>
      </c>
      <c r="I79">
        <v>1000</v>
      </c>
      <c r="K79" t="s">
        <v>499</v>
      </c>
      <c r="L79">
        <f>HYPERLINK("https://maps.cookcountyil.gov/cookviewer/?search=110 N WACKER DR", "110 N WACKER DR")</f>
        <v>0</v>
      </c>
      <c r="N79" t="s">
        <v>607</v>
      </c>
      <c r="P79" t="s">
        <v>678</v>
      </c>
      <c r="Q79" t="s">
        <v>854</v>
      </c>
      <c r="U79">
        <f>HYPERLINK("https://www.cookcountyassessoril.gov/pin/17094400010000", "17-09-440-001-0000")</f>
        <v>0</v>
      </c>
      <c r="V79" t="s">
        <v>965</v>
      </c>
    </row>
    <row r="80" spans="1:22">
      <c r="A80">
        <v>79</v>
      </c>
      <c r="B80" t="s">
        <v>94</v>
      </c>
      <c r="C80" t="s">
        <v>280</v>
      </c>
      <c r="D80" t="s">
        <v>405</v>
      </c>
      <c r="I80">
        <v>8200</v>
      </c>
      <c r="K80" t="s">
        <v>500</v>
      </c>
      <c r="L80">
        <f>HYPERLINK("https://maps.cookcountyil.gov/cookviewer/?search=2217 W FARRAGUT AVE", "2217 W FARRAGUT AVE")</f>
        <v>0</v>
      </c>
      <c r="N80" t="s">
        <v>607</v>
      </c>
      <c r="P80" t="s">
        <v>679</v>
      </c>
      <c r="Q80" t="s">
        <v>855</v>
      </c>
      <c r="U80">
        <f>HYPERLINK("https://www.cookcountyassessoril.gov/pin/14071150460000", "14-07-115-046-0000")</f>
        <v>0</v>
      </c>
      <c r="V80" t="s">
        <v>965</v>
      </c>
    </row>
    <row r="81" spans="1:22">
      <c r="A81">
        <v>80</v>
      </c>
      <c r="B81" t="s">
        <v>95</v>
      </c>
      <c r="C81" t="s">
        <v>281</v>
      </c>
      <c r="D81" t="s">
        <v>405</v>
      </c>
      <c r="I81">
        <v>26030</v>
      </c>
      <c r="K81" t="s">
        <v>501</v>
      </c>
      <c r="L81">
        <f>HYPERLINK("https://maps.cookcountyil.gov/cookviewer/?search=2234 S KOLIN AVE", "2234 S KOLIN AVE")</f>
        <v>0</v>
      </c>
      <c r="N81" t="s">
        <v>607</v>
      </c>
      <c r="P81" t="s">
        <v>680</v>
      </c>
      <c r="Q81" t="s">
        <v>856</v>
      </c>
      <c r="U81">
        <f>HYPERLINK("https://www.cookcountyassessoril.gov/pin/16272010480000", "16-27-201-048-0000")</f>
        <v>0</v>
      </c>
      <c r="V81" t="s">
        <v>966</v>
      </c>
    </row>
    <row r="82" spans="1:22">
      <c r="A82">
        <v>81</v>
      </c>
      <c r="B82" t="s">
        <v>96</v>
      </c>
      <c r="C82" t="s">
        <v>282</v>
      </c>
      <c r="D82" t="s">
        <v>405</v>
      </c>
      <c r="I82">
        <v>34065</v>
      </c>
      <c r="K82" t="s">
        <v>502</v>
      </c>
      <c r="L82">
        <f>HYPERLINK("https://maps.cookcountyil.gov/cookviewer/?search=2225 S KIRKLAND AVE", "2225 S KIRKLAND AVE")</f>
        <v>0</v>
      </c>
      <c r="N82" t="s">
        <v>607</v>
      </c>
      <c r="P82" t="s">
        <v>681</v>
      </c>
      <c r="Q82" t="s">
        <v>857</v>
      </c>
      <c r="U82">
        <f>HYPERLINK("https://www.cookcountyassessoril.gov/pin/16272010130000", "16-27-201-013-0000")</f>
        <v>0</v>
      </c>
      <c r="V82" t="s">
        <v>966</v>
      </c>
    </row>
    <row r="83" spans="1:22">
      <c r="A83">
        <v>82</v>
      </c>
      <c r="B83" t="s">
        <v>97</v>
      </c>
      <c r="C83" t="s">
        <v>283</v>
      </c>
      <c r="D83" t="s">
        <v>405</v>
      </c>
      <c r="I83">
        <v>37145</v>
      </c>
      <c r="K83" t="s">
        <v>503</v>
      </c>
      <c r="L83">
        <f>HYPERLINK("https://maps.cookcountyil.gov/cookviewer/?search=3805 W 86TH PL", "3805 W 86TH PL")</f>
        <v>0</v>
      </c>
      <c r="N83" t="s">
        <v>607</v>
      </c>
      <c r="P83" t="s">
        <v>682</v>
      </c>
      <c r="Q83" t="s">
        <v>858</v>
      </c>
      <c r="U83">
        <f>HYPERLINK("https://www.cookcountyassessoril.gov/pin/19353360570000", "19-35-336-057-0000")</f>
        <v>0</v>
      </c>
      <c r="V83" t="s">
        <v>966</v>
      </c>
    </row>
    <row r="84" spans="1:22">
      <c r="A84">
        <v>83</v>
      </c>
      <c r="B84" t="s">
        <v>98</v>
      </c>
      <c r="C84" t="s">
        <v>284</v>
      </c>
      <c r="D84" t="s">
        <v>405</v>
      </c>
      <c r="I84">
        <v>48260</v>
      </c>
      <c r="K84" t="s">
        <v>504</v>
      </c>
      <c r="L84">
        <f>HYPERLINK("https://maps.cookcountyil.gov/cookviewer/?search=5336 W JACKSON BLVD", "5336 W JACKSON BLVD")</f>
        <v>0</v>
      </c>
      <c r="N84" t="s">
        <v>607</v>
      </c>
      <c r="P84" t="s">
        <v>683</v>
      </c>
      <c r="Q84" t="s">
        <v>859</v>
      </c>
      <c r="U84">
        <f>HYPERLINK("https://www.cookcountyassessoril.gov/pin/16161100420000", "16-16-110-042-0000")</f>
        <v>0</v>
      </c>
      <c r="V84" t="s">
        <v>966</v>
      </c>
    </row>
    <row r="85" spans="1:22">
      <c r="A85">
        <v>84</v>
      </c>
      <c r="B85" t="s">
        <v>99</v>
      </c>
      <c r="C85" t="s">
        <v>285</v>
      </c>
      <c r="D85" t="s">
        <v>404</v>
      </c>
      <c r="I85">
        <v>100</v>
      </c>
      <c r="K85" t="s">
        <v>505</v>
      </c>
      <c r="L85">
        <f>HYPERLINK("https://maps.cookcountyil.gov/cookviewer/?search=725 S WABASH AVE", "725 S WABASH AVE")</f>
        <v>0</v>
      </c>
      <c r="N85" t="s">
        <v>607</v>
      </c>
      <c r="P85" t="s">
        <v>684</v>
      </c>
      <c r="Q85" t="s">
        <v>860</v>
      </c>
      <c r="U85" t="s">
        <v>964</v>
      </c>
      <c r="V85" t="s">
        <v>965</v>
      </c>
    </row>
    <row r="86" spans="1:22">
      <c r="A86">
        <v>85</v>
      </c>
      <c r="B86" t="s">
        <v>100</v>
      </c>
      <c r="C86" t="s">
        <v>286</v>
      </c>
      <c r="D86" t="s">
        <v>404</v>
      </c>
      <c r="I86">
        <v>782182</v>
      </c>
      <c r="K86" t="s">
        <v>506</v>
      </c>
      <c r="L86">
        <f>HYPERLINK("https://maps.cookcountyil.gov/cookviewer/?search=300 N LA SALLE DR", "300 N LA SALLE DR")</f>
        <v>0</v>
      </c>
      <c r="N86" t="s">
        <v>607</v>
      </c>
      <c r="P86" t="s">
        <v>685</v>
      </c>
      <c r="Q86" t="s">
        <v>861</v>
      </c>
      <c r="U86" t="s">
        <v>964</v>
      </c>
      <c r="V86" t="s">
        <v>965</v>
      </c>
    </row>
    <row r="87" spans="1:22">
      <c r="A87">
        <v>86</v>
      </c>
      <c r="B87" t="s">
        <v>101</v>
      </c>
      <c r="C87" t="s">
        <v>287</v>
      </c>
      <c r="D87" t="s">
        <v>408</v>
      </c>
      <c r="I87">
        <v>23204</v>
      </c>
      <c r="K87" t="s">
        <v>507</v>
      </c>
      <c r="L87">
        <f>HYPERLINK("https://maps.cookcountyil.gov/cookviewer/?search=941 N PARKSIDE AVE", "941 N PARKSIDE AVE")</f>
        <v>0</v>
      </c>
      <c r="N87" t="s">
        <v>607</v>
      </c>
      <c r="P87" t="s">
        <v>686</v>
      </c>
      <c r="Q87" t="s">
        <v>862</v>
      </c>
      <c r="U87">
        <f>HYPERLINK("https://www.cookcountyassessoril.gov/pin/16054230080000", "16-05-423-008-0000")</f>
        <v>0</v>
      </c>
      <c r="V87" t="s">
        <v>965</v>
      </c>
    </row>
    <row r="88" spans="1:22">
      <c r="A88">
        <v>87</v>
      </c>
      <c r="B88" t="s">
        <v>102</v>
      </c>
      <c r="C88" t="s">
        <v>288</v>
      </c>
      <c r="D88" t="s">
        <v>423</v>
      </c>
      <c r="I88">
        <v>24091</v>
      </c>
      <c r="K88" t="s">
        <v>508</v>
      </c>
      <c r="L88">
        <f>HYPERLINK("https://maps.cookcountyil.gov/cookviewer/?search=832 W 37TH PL", "832 W 37TH PL")</f>
        <v>0</v>
      </c>
      <c r="N88" t="s">
        <v>607</v>
      </c>
      <c r="P88" t="s">
        <v>687</v>
      </c>
      <c r="Q88" t="s">
        <v>863</v>
      </c>
      <c r="U88">
        <f>HYPERLINK("https://www.cookcountyassessoril.gov/pin/17324130360000", "17-32-413-036-0000")</f>
        <v>0</v>
      </c>
      <c r="V88" t="s">
        <v>966</v>
      </c>
    </row>
    <row r="89" spans="1:22">
      <c r="A89">
        <v>88</v>
      </c>
      <c r="B89" t="s">
        <v>103</v>
      </c>
      <c r="C89" t="s">
        <v>289</v>
      </c>
      <c r="D89" t="s">
        <v>408</v>
      </c>
      <c r="I89">
        <v>14980</v>
      </c>
      <c r="K89" t="s">
        <v>509</v>
      </c>
      <c r="L89">
        <f>HYPERLINK("https://maps.cookcountyil.gov/cookviewer/?search=12000 S PERRY AVE", "12000 S PERRY AVE")</f>
        <v>0</v>
      </c>
      <c r="N89" t="s">
        <v>607</v>
      </c>
      <c r="P89" t="s">
        <v>688</v>
      </c>
      <c r="Q89" t="s">
        <v>864</v>
      </c>
      <c r="U89">
        <f>HYPERLINK("https://www.cookcountyassessoril.gov/pin/25282130180000", "25-28-213-018-0000")</f>
        <v>0</v>
      </c>
      <c r="V89" t="s">
        <v>965</v>
      </c>
    </row>
    <row r="90" spans="1:22">
      <c r="A90">
        <v>89</v>
      </c>
      <c r="B90" t="s">
        <v>104</v>
      </c>
      <c r="C90" t="s">
        <v>290</v>
      </c>
      <c r="D90" t="s">
        <v>405</v>
      </c>
      <c r="I90">
        <v>12400</v>
      </c>
      <c r="K90" t="s">
        <v>510</v>
      </c>
      <c r="L90">
        <f>HYPERLINK("https://maps.cookcountyil.gov/cookviewer/?search=953 W BELMONT AVE", "953 W BELMONT AVE")</f>
        <v>0</v>
      </c>
      <c r="N90" t="s">
        <v>607</v>
      </c>
      <c r="P90" t="s">
        <v>689</v>
      </c>
      <c r="Q90" t="s">
        <v>865</v>
      </c>
      <c r="U90">
        <f>HYPERLINK("https://www.cookcountyassessoril.gov/pin/14292040010000", "14-29-204-001-0000")</f>
        <v>0</v>
      </c>
      <c r="V90" t="s">
        <v>965</v>
      </c>
    </row>
    <row r="91" spans="1:22">
      <c r="A91">
        <v>90</v>
      </c>
      <c r="B91" t="s">
        <v>105</v>
      </c>
      <c r="C91" t="s">
        <v>291</v>
      </c>
      <c r="D91" t="s">
        <v>405</v>
      </c>
      <c r="I91">
        <v>1500</v>
      </c>
      <c r="K91" t="s">
        <v>511</v>
      </c>
      <c r="L91">
        <f>HYPERLINK("https://maps.cookcountyil.gov/cookviewer/?search=10054 S CARPENTER ST", "10054 S CARPENTER ST")</f>
        <v>0</v>
      </c>
      <c r="N91" t="s">
        <v>607</v>
      </c>
      <c r="P91" t="s">
        <v>690</v>
      </c>
      <c r="Q91" t="s">
        <v>791</v>
      </c>
      <c r="U91">
        <f>HYPERLINK("https://www.cookcountyassessoril.gov/pin/25084100410000", "25-08-410-041-0000")</f>
        <v>0</v>
      </c>
      <c r="V91" t="s">
        <v>965</v>
      </c>
    </row>
    <row r="92" spans="1:22">
      <c r="A92">
        <v>91</v>
      </c>
      <c r="B92" t="s">
        <v>106</v>
      </c>
      <c r="C92" t="s">
        <v>292</v>
      </c>
      <c r="D92" t="s">
        <v>424</v>
      </c>
      <c r="I92">
        <v>42830</v>
      </c>
      <c r="K92" t="s">
        <v>512</v>
      </c>
      <c r="L92">
        <f>HYPERLINK("https://maps.cookcountyil.gov/cookviewer/?search=4223 S DR MARTIN LUTHER KING JR DR", "4223 S DR MARTIN LUTHER KING JR DR")</f>
        <v>0</v>
      </c>
      <c r="N92" t="s">
        <v>607</v>
      </c>
      <c r="P92" t="s">
        <v>691</v>
      </c>
      <c r="Q92" t="s">
        <v>866</v>
      </c>
      <c r="U92" t="s">
        <v>964</v>
      </c>
      <c r="V92" t="s">
        <v>965</v>
      </c>
    </row>
    <row r="93" spans="1:22">
      <c r="A93">
        <v>92</v>
      </c>
      <c r="B93" t="s">
        <v>107</v>
      </c>
      <c r="C93" t="s">
        <v>293</v>
      </c>
      <c r="D93" t="s">
        <v>405</v>
      </c>
      <c r="I93">
        <v>1500</v>
      </c>
      <c r="K93" t="s">
        <v>513</v>
      </c>
      <c r="L93">
        <f>HYPERLINK("https://maps.cookcountyil.gov/cookviewer/?search=3837 N NEVA AVE", "3837 N NEVA AVE")</f>
        <v>0</v>
      </c>
      <c r="N93" t="s">
        <v>607</v>
      </c>
      <c r="P93" t="s">
        <v>692</v>
      </c>
      <c r="Q93" t="s">
        <v>791</v>
      </c>
      <c r="U93">
        <f>HYPERLINK("https://www.cookcountyassessoril.gov/pin/13191100450000", "13-19-110-045-0000")</f>
        <v>0</v>
      </c>
      <c r="V93" t="s">
        <v>965</v>
      </c>
    </row>
    <row r="94" spans="1:22">
      <c r="A94">
        <v>93</v>
      </c>
      <c r="B94" t="s">
        <v>108</v>
      </c>
      <c r="C94" t="s">
        <v>294</v>
      </c>
      <c r="D94" t="s">
        <v>405</v>
      </c>
      <c r="I94">
        <v>1500</v>
      </c>
      <c r="K94" t="s">
        <v>514</v>
      </c>
      <c r="L94">
        <f>HYPERLINK("https://maps.cookcountyil.gov/cookviewer/?search=7130 S WHIPPLE ST", "7130 S WHIPPLE ST")</f>
        <v>0</v>
      </c>
      <c r="N94" t="s">
        <v>607</v>
      </c>
      <c r="P94" t="s">
        <v>693</v>
      </c>
      <c r="Q94" t="s">
        <v>794</v>
      </c>
      <c r="U94">
        <f>HYPERLINK("https://www.cookcountyassessoril.gov/pin/19251020300000", "19-25-102-030-0000")</f>
        <v>0</v>
      </c>
      <c r="V94" t="s">
        <v>965</v>
      </c>
    </row>
    <row r="95" spans="1:22">
      <c r="A95">
        <v>94</v>
      </c>
      <c r="B95" t="s">
        <v>109</v>
      </c>
      <c r="C95" t="s">
        <v>295</v>
      </c>
      <c r="D95" t="s">
        <v>416</v>
      </c>
      <c r="I95">
        <v>18431</v>
      </c>
      <c r="K95" t="s">
        <v>515</v>
      </c>
      <c r="L95">
        <f>HYPERLINK("https://maps.cookcountyil.gov/cookviewer/?search=1250 S MICHIGAN AVE", "1250 S MICHIGAN AVE")</f>
        <v>0</v>
      </c>
      <c r="N95" t="s">
        <v>607</v>
      </c>
      <c r="P95" t="s">
        <v>694</v>
      </c>
      <c r="Q95" t="s">
        <v>867</v>
      </c>
      <c r="U95">
        <f>HYPERLINK("https://www.cookcountyassessoril.gov/pin/17221010420000", "17-22-101-042-0000")</f>
        <v>0</v>
      </c>
      <c r="V95" t="s">
        <v>965</v>
      </c>
    </row>
    <row r="96" spans="1:22">
      <c r="A96">
        <v>95</v>
      </c>
      <c r="B96" t="s">
        <v>110</v>
      </c>
      <c r="C96" t="s">
        <v>296</v>
      </c>
      <c r="D96" t="s">
        <v>419</v>
      </c>
      <c r="I96">
        <v>129569</v>
      </c>
      <c r="K96" t="s">
        <v>516</v>
      </c>
      <c r="L96">
        <f>HYPERLINK("https://maps.cookcountyil.gov/cookviewer/?search=259 N CALIFORNIA AVE", "259 N CALIFORNIA AVE")</f>
        <v>0</v>
      </c>
      <c r="N96" t="s">
        <v>607</v>
      </c>
      <c r="P96" t="s">
        <v>695</v>
      </c>
      <c r="Q96" t="s">
        <v>868</v>
      </c>
      <c r="U96">
        <f>HYPERLINK("https://www.cookcountyassessoril.gov/pin/16124070780000", "16-12-407-078-0000")</f>
        <v>0</v>
      </c>
      <c r="V96" t="s">
        <v>966</v>
      </c>
    </row>
    <row r="97" spans="1:22">
      <c r="A97">
        <v>96</v>
      </c>
      <c r="B97" t="s">
        <v>111</v>
      </c>
      <c r="C97" t="s">
        <v>297</v>
      </c>
      <c r="D97" t="s">
        <v>418</v>
      </c>
      <c r="I97">
        <v>1500</v>
      </c>
      <c r="K97" t="s">
        <v>517</v>
      </c>
      <c r="L97">
        <f>HYPERLINK("https://maps.cookcountyil.gov/cookviewer/?search=10663 S CHAMPLAIN AVE", "10663 S CHAMPLAIN AVE")</f>
        <v>0</v>
      </c>
      <c r="N97" t="s">
        <v>607</v>
      </c>
      <c r="P97" t="s">
        <v>696</v>
      </c>
      <c r="Q97" t="s">
        <v>869</v>
      </c>
      <c r="U97">
        <f>HYPERLINK("https://www.cookcountyassessoril.gov/pin/25152280320000", "25-15-228-032-0000")</f>
        <v>0</v>
      </c>
      <c r="V97" t="s">
        <v>965</v>
      </c>
    </row>
    <row r="98" spans="1:22">
      <c r="A98">
        <v>97</v>
      </c>
      <c r="B98" t="s">
        <v>112</v>
      </c>
      <c r="C98" t="s">
        <v>298</v>
      </c>
      <c r="D98" t="s">
        <v>421</v>
      </c>
      <c r="I98">
        <v>3800</v>
      </c>
      <c r="K98" t="s">
        <v>518</v>
      </c>
      <c r="L98">
        <f>HYPERLINK("https://maps.cookcountyil.gov/cookviewer/?search=4307 N SAWYER AVE", "4307 N SAWYER AVE")</f>
        <v>0</v>
      </c>
      <c r="N98" t="s">
        <v>607</v>
      </c>
      <c r="P98" t="s">
        <v>697</v>
      </c>
      <c r="Q98" t="s">
        <v>870</v>
      </c>
      <c r="U98">
        <f>HYPERLINK("https://www.cookcountyassessoril.gov/pin/13144070150000", "13-14-407-015-0000")</f>
        <v>0</v>
      </c>
      <c r="V98" t="s">
        <v>965</v>
      </c>
    </row>
    <row r="99" spans="1:22">
      <c r="A99">
        <v>98</v>
      </c>
      <c r="B99" t="s">
        <v>93</v>
      </c>
      <c r="C99" t="s">
        <v>299</v>
      </c>
      <c r="D99" t="s">
        <v>404</v>
      </c>
      <c r="I99">
        <v>2500</v>
      </c>
      <c r="K99" t="s">
        <v>499</v>
      </c>
      <c r="L99">
        <f>HYPERLINK("https://maps.cookcountyil.gov/cookviewer/?search=110 N WACKER DR", "110 N WACKER DR")</f>
        <v>0</v>
      </c>
      <c r="N99" t="s">
        <v>607</v>
      </c>
      <c r="P99" t="s">
        <v>698</v>
      </c>
      <c r="Q99" t="s">
        <v>871</v>
      </c>
      <c r="U99">
        <f>HYPERLINK("https://www.cookcountyassessoril.gov/pin/17094400010000", "17-09-440-001-0000")</f>
        <v>0</v>
      </c>
      <c r="V99" t="s">
        <v>965</v>
      </c>
    </row>
    <row r="100" spans="1:22">
      <c r="A100">
        <v>99</v>
      </c>
      <c r="B100" t="s">
        <v>113</v>
      </c>
      <c r="C100" t="s">
        <v>300</v>
      </c>
      <c r="D100" t="s">
        <v>406</v>
      </c>
      <c r="I100">
        <v>20712</v>
      </c>
      <c r="K100" t="s">
        <v>519</v>
      </c>
      <c r="L100">
        <f>HYPERLINK("https://maps.cookcountyil.gov/cookviewer/?search=3403 W 64TH PL", "3403 W 64TH PL")</f>
        <v>0</v>
      </c>
      <c r="N100" t="s">
        <v>607</v>
      </c>
      <c r="P100" t="s">
        <v>699</v>
      </c>
      <c r="Q100" t="s">
        <v>872</v>
      </c>
      <c r="U100">
        <f>HYPERLINK("https://www.cookcountyassessoril.gov/pin/19232130170000", "19-23-213-017-0000")</f>
        <v>0</v>
      </c>
      <c r="V100" t="s">
        <v>966</v>
      </c>
    </row>
    <row r="101" spans="1:22">
      <c r="A101">
        <v>100</v>
      </c>
      <c r="B101" t="s">
        <v>114</v>
      </c>
      <c r="C101" t="s">
        <v>301</v>
      </c>
      <c r="D101" t="s">
        <v>412</v>
      </c>
      <c r="I101">
        <v>5000</v>
      </c>
      <c r="K101" t="s">
        <v>520</v>
      </c>
      <c r="L101">
        <f>HYPERLINK("https://maps.cookcountyil.gov/cookviewer/?search=6358 S KOLIN AVE", "6358 S KOLIN AVE")</f>
        <v>0</v>
      </c>
      <c r="N101" t="s">
        <v>607</v>
      </c>
      <c r="P101" t="s">
        <v>700</v>
      </c>
      <c r="Q101" t="s">
        <v>873</v>
      </c>
      <c r="U101">
        <f>HYPERLINK("https://www.cookcountyassessoril.gov/pin/19222000400000", "19-22-200-040-0000")</f>
        <v>0</v>
      </c>
      <c r="V101" t="s">
        <v>965</v>
      </c>
    </row>
    <row r="102" spans="1:22">
      <c r="A102">
        <v>101</v>
      </c>
      <c r="B102" t="s">
        <v>115</v>
      </c>
      <c r="C102" t="s">
        <v>302</v>
      </c>
      <c r="D102" t="s">
        <v>425</v>
      </c>
      <c r="I102">
        <v>7000</v>
      </c>
      <c r="K102" t="s">
        <v>521</v>
      </c>
      <c r="L102">
        <f>HYPERLINK("https://maps.cookcountyil.gov/cookviewer/?search=10702 S WESTERN AVE", "10702 S WESTERN AVE")</f>
        <v>0</v>
      </c>
      <c r="N102" t="s">
        <v>607</v>
      </c>
      <c r="P102" t="s">
        <v>701</v>
      </c>
      <c r="Q102" t="s">
        <v>874</v>
      </c>
      <c r="U102">
        <f>HYPERLINK("https://www.cookcountyassessoril.gov/pin/24134070220000", "24-13-407-022-0000")</f>
        <v>0</v>
      </c>
      <c r="V102" t="s">
        <v>965</v>
      </c>
    </row>
    <row r="103" spans="1:22">
      <c r="A103">
        <v>102</v>
      </c>
      <c r="B103" t="s">
        <v>116</v>
      </c>
      <c r="C103" t="s">
        <v>303</v>
      </c>
      <c r="D103" t="s">
        <v>425</v>
      </c>
      <c r="I103">
        <v>2260</v>
      </c>
      <c r="K103" t="s">
        <v>522</v>
      </c>
      <c r="L103">
        <f>HYPERLINK("https://maps.cookcountyil.gov/cookviewer/?search=10341 S WHIPPLE ST", "10341 S WHIPPLE ST")</f>
        <v>0</v>
      </c>
      <c r="N103" t="s">
        <v>607</v>
      </c>
      <c r="P103" t="s">
        <v>702</v>
      </c>
      <c r="Q103" t="s">
        <v>875</v>
      </c>
      <c r="U103">
        <f>HYPERLINK("https://www.cookcountyassessoril.gov/pin/24131030200000", "24-13-103-020-0000")</f>
        <v>0</v>
      </c>
      <c r="V103" t="s">
        <v>965</v>
      </c>
    </row>
    <row r="104" spans="1:22">
      <c r="A104">
        <v>103</v>
      </c>
      <c r="B104" t="s">
        <v>117</v>
      </c>
      <c r="C104" t="s">
        <v>304</v>
      </c>
      <c r="D104" t="s">
        <v>425</v>
      </c>
      <c r="I104">
        <v>1650</v>
      </c>
      <c r="K104" t="s">
        <v>523</v>
      </c>
      <c r="L104">
        <f>HYPERLINK("https://maps.cookcountyil.gov/cookviewer/?search=2740 N PINE GROVE AVE", "2740 N PINE GROVE AVE")</f>
        <v>0</v>
      </c>
      <c r="N104" t="s">
        <v>607</v>
      </c>
      <c r="P104" t="s">
        <v>703</v>
      </c>
      <c r="Q104" t="s">
        <v>876</v>
      </c>
      <c r="U104" t="s">
        <v>964</v>
      </c>
      <c r="V104" t="s">
        <v>965</v>
      </c>
    </row>
    <row r="105" spans="1:22">
      <c r="A105">
        <v>104</v>
      </c>
      <c r="B105" t="s">
        <v>118</v>
      </c>
      <c r="C105" t="s">
        <v>305</v>
      </c>
      <c r="D105" t="s">
        <v>410</v>
      </c>
      <c r="I105">
        <v>16000</v>
      </c>
      <c r="K105" t="s">
        <v>524</v>
      </c>
      <c r="L105">
        <f>HYPERLINK("https://maps.cookcountyil.gov/cookviewer/?search=2855 S KEELEY ST", "2855 S KEELEY ST")</f>
        <v>0</v>
      </c>
      <c r="N105" t="s">
        <v>607</v>
      </c>
      <c r="P105" t="s">
        <v>704</v>
      </c>
      <c r="Q105" t="s">
        <v>877</v>
      </c>
      <c r="U105" t="s">
        <v>964</v>
      </c>
      <c r="V105" t="s">
        <v>965</v>
      </c>
    </row>
    <row r="106" spans="1:22">
      <c r="A106">
        <v>105</v>
      </c>
      <c r="B106" t="s">
        <v>119</v>
      </c>
      <c r="C106" t="s">
        <v>306</v>
      </c>
      <c r="D106" t="s">
        <v>423</v>
      </c>
      <c r="I106">
        <v>88000</v>
      </c>
      <c r="K106" t="s">
        <v>525</v>
      </c>
      <c r="L106">
        <f>HYPERLINK("https://maps.cookcountyil.gov/cookviewer/?search=320 S CANAL ST", "320 S CANAL ST")</f>
        <v>0</v>
      </c>
      <c r="N106" t="s">
        <v>607</v>
      </c>
      <c r="P106" t="s">
        <v>705</v>
      </c>
      <c r="Q106" t="s">
        <v>878</v>
      </c>
      <c r="U106" t="s">
        <v>964</v>
      </c>
      <c r="V106" t="s">
        <v>965</v>
      </c>
    </row>
    <row r="107" spans="1:22">
      <c r="A107">
        <v>106</v>
      </c>
      <c r="B107" t="s">
        <v>120</v>
      </c>
      <c r="C107" t="s">
        <v>307</v>
      </c>
      <c r="D107" t="s">
        <v>410</v>
      </c>
      <c r="I107">
        <v>4700</v>
      </c>
      <c r="K107" t="s">
        <v>526</v>
      </c>
      <c r="L107">
        <f>HYPERLINK("https://maps.cookcountyil.gov/cookviewer/?search=1804 S KILBOURN AVE", "1804 S KILBOURN AVE")</f>
        <v>0</v>
      </c>
      <c r="N107" t="s">
        <v>607</v>
      </c>
      <c r="P107" t="s">
        <v>706</v>
      </c>
      <c r="Q107" t="s">
        <v>879</v>
      </c>
      <c r="U107">
        <f>HYPERLINK("https://www.cookcountyassessoril.gov/pin/16223120040000", "16-22-312-004-0000")</f>
        <v>0</v>
      </c>
      <c r="V107" t="s">
        <v>966</v>
      </c>
    </row>
    <row r="108" spans="1:22">
      <c r="A108">
        <v>107</v>
      </c>
      <c r="B108" t="s">
        <v>121</v>
      </c>
      <c r="C108" t="s">
        <v>308</v>
      </c>
      <c r="D108" t="s">
        <v>426</v>
      </c>
      <c r="I108">
        <v>1500</v>
      </c>
      <c r="K108" t="s">
        <v>527</v>
      </c>
      <c r="L108">
        <f>HYPERLINK("https://maps.cookcountyil.gov/cookviewer/?search=2901 W GREENLEAF AVE", "2901 W GREENLEAF AVE")</f>
        <v>0</v>
      </c>
      <c r="N108" t="s">
        <v>607</v>
      </c>
      <c r="P108" t="s">
        <v>707</v>
      </c>
      <c r="Q108" t="s">
        <v>880</v>
      </c>
      <c r="U108">
        <f>HYPERLINK("https://www.cookcountyassessoril.gov/pin/10361070180000", "10-36-107-018-0000")</f>
        <v>0</v>
      </c>
      <c r="V108" t="s">
        <v>965</v>
      </c>
    </row>
    <row r="109" spans="1:22">
      <c r="A109">
        <v>108</v>
      </c>
      <c r="B109" t="s">
        <v>122</v>
      </c>
      <c r="C109" t="s">
        <v>309</v>
      </c>
      <c r="D109" t="s">
        <v>424</v>
      </c>
      <c r="I109">
        <v>500</v>
      </c>
      <c r="K109" t="s">
        <v>528</v>
      </c>
      <c r="L109">
        <f>HYPERLINK("https://maps.cookcountyil.gov/cookviewer/?search=4838 W DAKIN ST", "4838 W DAKIN ST")</f>
        <v>0</v>
      </c>
      <c r="N109" t="s">
        <v>607</v>
      </c>
      <c r="P109" t="s">
        <v>708</v>
      </c>
      <c r="Q109" t="s">
        <v>881</v>
      </c>
      <c r="U109" t="s">
        <v>964</v>
      </c>
      <c r="V109" t="s">
        <v>965</v>
      </c>
    </row>
    <row r="110" spans="1:22">
      <c r="A110">
        <v>109</v>
      </c>
      <c r="B110" t="s">
        <v>123</v>
      </c>
      <c r="C110" t="s">
        <v>310</v>
      </c>
      <c r="D110" t="s">
        <v>404</v>
      </c>
      <c r="I110">
        <v>3500</v>
      </c>
      <c r="K110" t="s">
        <v>529</v>
      </c>
      <c r="L110">
        <f>HYPERLINK("https://maps.cookcountyil.gov/cookviewer/?search=1810 S HAMLIN AVE", "1810 S HAMLIN AVE")</f>
        <v>0</v>
      </c>
      <c r="N110" t="s">
        <v>607</v>
      </c>
      <c r="P110" t="s">
        <v>709</v>
      </c>
      <c r="Q110" t="s">
        <v>882</v>
      </c>
      <c r="U110">
        <f>HYPERLINK("https://www.cookcountyassessoril.gov/pin/16233110290000", "16-23-311-029-0000")</f>
        <v>0</v>
      </c>
      <c r="V110" t="s">
        <v>965</v>
      </c>
    </row>
    <row r="111" spans="1:22">
      <c r="A111">
        <v>110</v>
      </c>
      <c r="B111" t="s">
        <v>124</v>
      </c>
      <c r="C111" t="s">
        <v>311</v>
      </c>
      <c r="D111" t="s">
        <v>404</v>
      </c>
      <c r="I111">
        <v>10000</v>
      </c>
      <c r="K111" t="s">
        <v>530</v>
      </c>
      <c r="L111">
        <f>HYPERLINK("https://maps.cookcountyil.gov/cookviewer/?search=5330 W GLADYS AVE", "5330 W GLADYS AVE")</f>
        <v>0</v>
      </c>
      <c r="N111" t="s">
        <v>607</v>
      </c>
      <c r="P111" t="s">
        <v>710</v>
      </c>
      <c r="Q111" t="s">
        <v>883</v>
      </c>
      <c r="U111">
        <f>HYPERLINK("https://www.cookcountyassessoril.gov/pin/16161130450000", "16-16-113-045-0000")</f>
        <v>0</v>
      </c>
      <c r="V111" t="s">
        <v>965</v>
      </c>
    </row>
    <row r="112" spans="1:22">
      <c r="A112">
        <v>111</v>
      </c>
      <c r="B112" t="s">
        <v>125</v>
      </c>
      <c r="C112" t="s">
        <v>312</v>
      </c>
      <c r="D112" t="s">
        <v>404</v>
      </c>
      <c r="I112">
        <v>10000</v>
      </c>
      <c r="K112" t="s">
        <v>531</v>
      </c>
      <c r="L112">
        <f>HYPERLINK("https://maps.cookcountyil.gov/cookviewer/?search=2200 E 89TH ST", "2200 E 89TH ST")</f>
        <v>0</v>
      </c>
      <c r="N112" t="s">
        <v>607</v>
      </c>
      <c r="P112" t="s">
        <v>711</v>
      </c>
      <c r="Q112" t="s">
        <v>884</v>
      </c>
      <c r="U112" t="s">
        <v>964</v>
      </c>
      <c r="V112" t="s">
        <v>965</v>
      </c>
    </row>
    <row r="113" spans="1:22">
      <c r="A113">
        <v>112</v>
      </c>
      <c r="B113" t="s">
        <v>126</v>
      </c>
      <c r="C113" t="s">
        <v>313</v>
      </c>
      <c r="D113" t="s">
        <v>406</v>
      </c>
      <c r="I113">
        <v>25000</v>
      </c>
      <c r="K113" t="s">
        <v>532</v>
      </c>
      <c r="L113">
        <f>HYPERLINK("https://maps.cookcountyil.gov/cookviewer/?search=5916 N NAVARRE AVE", "5916 N NAVARRE AVE")</f>
        <v>0</v>
      </c>
      <c r="N113" t="s">
        <v>607</v>
      </c>
      <c r="P113" t="s">
        <v>712</v>
      </c>
      <c r="Q113" t="s">
        <v>885</v>
      </c>
      <c r="U113">
        <f>HYPERLINK("https://www.cookcountyassessoril.gov/pin/13064020170000", "13-06-402-017-0000")</f>
        <v>0</v>
      </c>
      <c r="V113" t="s">
        <v>966</v>
      </c>
    </row>
    <row r="114" spans="1:22">
      <c r="A114">
        <v>113</v>
      </c>
      <c r="B114" t="s">
        <v>127</v>
      </c>
      <c r="C114" t="s">
        <v>314</v>
      </c>
      <c r="D114" t="s">
        <v>410</v>
      </c>
      <c r="I114">
        <v>6000</v>
      </c>
      <c r="K114" t="s">
        <v>533</v>
      </c>
      <c r="L114">
        <f>HYPERLINK("https://maps.cookcountyil.gov/cookviewer/?search=1226 W GEORGE ST", "1226 W GEORGE ST")</f>
        <v>0</v>
      </c>
      <c r="N114" t="s">
        <v>607</v>
      </c>
      <c r="P114" t="s">
        <v>713</v>
      </c>
      <c r="Q114" t="s">
        <v>886</v>
      </c>
      <c r="U114">
        <f>HYPERLINK("https://www.cookcountyassessoril.gov/pin/14291230270000", "14-29-123-027-0000")</f>
        <v>0</v>
      </c>
      <c r="V114" t="s">
        <v>965</v>
      </c>
    </row>
    <row r="115" spans="1:22">
      <c r="A115">
        <v>114</v>
      </c>
      <c r="B115" t="s">
        <v>128</v>
      </c>
      <c r="C115" t="s">
        <v>315</v>
      </c>
      <c r="D115" t="s">
        <v>417</v>
      </c>
      <c r="I115">
        <v>15000</v>
      </c>
      <c r="K115" t="s">
        <v>534</v>
      </c>
      <c r="L115">
        <f>HYPERLINK("https://maps.cookcountyil.gov/cookviewer/?search=6439 S PULASKI RD", "6439 S PULASKI RD")</f>
        <v>0</v>
      </c>
      <c r="N115" t="s">
        <v>607</v>
      </c>
      <c r="P115" t="s">
        <v>714</v>
      </c>
      <c r="Q115" t="s">
        <v>887</v>
      </c>
      <c r="U115">
        <f>HYPERLINK("https://www.cookcountyassessoril.gov/pin/19231120020000", "19-23-112-002-0000")</f>
        <v>0</v>
      </c>
      <c r="V115" t="s">
        <v>965</v>
      </c>
    </row>
    <row r="116" spans="1:22">
      <c r="A116">
        <v>115</v>
      </c>
      <c r="B116" t="s">
        <v>128</v>
      </c>
      <c r="C116" t="s">
        <v>316</v>
      </c>
      <c r="D116" t="s">
        <v>421</v>
      </c>
      <c r="I116">
        <v>2500</v>
      </c>
      <c r="K116" t="s">
        <v>534</v>
      </c>
      <c r="L116">
        <f>HYPERLINK("https://maps.cookcountyil.gov/cookviewer/?search=6439 S PULASKI RD", "6439 S PULASKI RD")</f>
        <v>0</v>
      </c>
      <c r="N116" t="s">
        <v>607</v>
      </c>
      <c r="P116" t="s">
        <v>714</v>
      </c>
      <c r="Q116" t="s">
        <v>888</v>
      </c>
      <c r="U116">
        <f>HYPERLINK("https://www.cookcountyassessoril.gov/pin/19231120020000", "19-23-112-002-0000")</f>
        <v>0</v>
      </c>
      <c r="V116" t="s">
        <v>965</v>
      </c>
    </row>
    <row r="117" spans="1:22">
      <c r="A117">
        <v>116</v>
      </c>
      <c r="B117" t="s">
        <v>129</v>
      </c>
      <c r="C117" t="s">
        <v>317</v>
      </c>
      <c r="D117" t="s">
        <v>404</v>
      </c>
      <c r="I117">
        <v>17950</v>
      </c>
      <c r="K117" t="s">
        <v>535</v>
      </c>
      <c r="L117">
        <f>HYPERLINK("https://maps.cookcountyil.gov/cookviewer/?search=5339 W GALEWOOD AVE", "5339 W GALEWOOD AVE")</f>
        <v>0</v>
      </c>
      <c r="N117" t="s">
        <v>607</v>
      </c>
      <c r="P117" t="s">
        <v>715</v>
      </c>
      <c r="Q117" t="s">
        <v>889</v>
      </c>
      <c r="U117" t="s">
        <v>964</v>
      </c>
      <c r="V117" t="s">
        <v>966</v>
      </c>
    </row>
    <row r="118" spans="1:22">
      <c r="A118">
        <v>117</v>
      </c>
      <c r="B118" t="s">
        <v>130</v>
      </c>
      <c r="C118" t="s">
        <v>318</v>
      </c>
      <c r="D118" t="s">
        <v>406</v>
      </c>
      <c r="I118">
        <v>26973</v>
      </c>
      <c r="K118" t="s">
        <v>536</v>
      </c>
      <c r="L118">
        <f>HYPERLINK("https://maps.cookcountyil.gov/cookviewer/?search=5436 W BARRY AVE", "5436 W BARRY AVE")</f>
        <v>0</v>
      </c>
      <c r="N118" t="s">
        <v>607</v>
      </c>
      <c r="P118" t="s">
        <v>716</v>
      </c>
      <c r="Q118" t="s">
        <v>890</v>
      </c>
      <c r="U118">
        <f>HYPERLINK("https://www.cookcountyassessoril.gov/pin/13281020390000", "13-28-102-039-0000")</f>
        <v>0</v>
      </c>
      <c r="V118" t="s">
        <v>966</v>
      </c>
    </row>
    <row r="119" spans="1:22">
      <c r="A119">
        <v>118</v>
      </c>
      <c r="B119" t="s">
        <v>131</v>
      </c>
      <c r="C119" t="s">
        <v>319</v>
      </c>
      <c r="D119" t="s">
        <v>410</v>
      </c>
      <c r="I119">
        <v>24619</v>
      </c>
      <c r="K119" t="s">
        <v>537</v>
      </c>
      <c r="L119">
        <f>HYPERLINK("https://maps.cookcountyil.gov/cookviewer/?search=4834 S FORRESTVILLE AVE", "4834 S FORRESTVILLE AVE")</f>
        <v>0</v>
      </c>
      <c r="N119" t="s">
        <v>607</v>
      </c>
      <c r="P119" t="s">
        <v>717</v>
      </c>
      <c r="Q119" t="s">
        <v>891</v>
      </c>
      <c r="U119">
        <f>HYPERLINK("https://www.cookcountyassessoril.gov/pin/20102090270000", "20-10-209-027-0000")</f>
        <v>0</v>
      </c>
      <c r="V119" t="s">
        <v>966</v>
      </c>
    </row>
    <row r="120" spans="1:22">
      <c r="A120">
        <v>119</v>
      </c>
      <c r="B120" t="s">
        <v>132</v>
      </c>
      <c r="C120" t="s">
        <v>320</v>
      </c>
      <c r="D120" t="s">
        <v>427</v>
      </c>
      <c r="I120">
        <v>100</v>
      </c>
      <c r="K120" t="s">
        <v>538</v>
      </c>
      <c r="L120">
        <f>HYPERLINK("https://maps.cookcountyil.gov/cookviewer/?search=8800 S MORGAN ST", "8800 S MORGAN ST")</f>
        <v>0</v>
      </c>
      <c r="N120" t="s">
        <v>607</v>
      </c>
      <c r="P120" t="s">
        <v>718</v>
      </c>
      <c r="Q120" t="s">
        <v>892</v>
      </c>
      <c r="U120">
        <f>HYPERLINK("https://www.cookcountyassessoril.gov/pin/25052120210000", "25-05-212-021-0000")</f>
        <v>0</v>
      </c>
      <c r="V120" t="s">
        <v>965</v>
      </c>
    </row>
    <row r="121" spans="1:22">
      <c r="A121">
        <v>120</v>
      </c>
      <c r="B121" t="s">
        <v>45</v>
      </c>
      <c r="C121" t="s">
        <v>321</v>
      </c>
      <c r="D121" t="s">
        <v>408</v>
      </c>
      <c r="I121">
        <v>45000</v>
      </c>
      <c r="K121" t="s">
        <v>451</v>
      </c>
      <c r="L121">
        <f>HYPERLINK("https://maps.cookcountyil.gov/cookviewer/?search=25 E WASHINGTON ST", "25 E WASHINGTON ST")</f>
        <v>0</v>
      </c>
      <c r="N121" t="s">
        <v>607</v>
      </c>
      <c r="P121" t="s">
        <v>629</v>
      </c>
      <c r="Q121" t="s">
        <v>893</v>
      </c>
      <c r="U121">
        <f>HYPERLINK("https://www.cookcountyassessoril.gov/pin/17103110090000", "17-10-311-009-0000")</f>
        <v>0</v>
      </c>
      <c r="V121" t="s">
        <v>965</v>
      </c>
    </row>
    <row r="122" spans="1:22">
      <c r="A122">
        <v>121</v>
      </c>
      <c r="B122" t="s">
        <v>133</v>
      </c>
      <c r="C122" t="s">
        <v>322</v>
      </c>
      <c r="D122" t="s">
        <v>410</v>
      </c>
      <c r="I122">
        <v>4000</v>
      </c>
      <c r="K122" t="s">
        <v>539</v>
      </c>
      <c r="L122">
        <f>HYPERLINK("https://maps.cookcountyil.gov/cookviewer/?search=3712 W 87TH ST", "3712 W 87TH ST")</f>
        <v>0</v>
      </c>
      <c r="N122" t="s">
        <v>607</v>
      </c>
      <c r="P122" t="s">
        <v>719</v>
      </c>
      <c r="Q122" t="s">
        <v>894</v>
      </c>
      <c r="U122">
        <f>HYPERLINK("https://www.cookcountyassessoril.gov/pin/19353370650000", "19-35-337-065-0000")</f>
        <v>0</v>
      </c>
      <c r="V122" t="s">
        <v>965</v>
      </c>
    </row>
    <row r="123" spans="1:22">
      <c r="A123">
        <v>122</v>
      </c>
      <c r="B123" t="s">
        <v>134</v>
      </c>
      <c r="C123" t="s">
        <v>323</v>
      </c>
      <c r="D123" t="s">
        <v>408</v>
      </c>
      <c r="I123">
        <v>3000</v>
      </c>
      <c r="K123" t="s">
        <v>540</v>
      </c>
      <c r="L123">
        <f>HYPERLINK("https://maps.cookcountyil.gov/cookviewer/?search=3847 S MICHIGAN AVE", "3847 S MICHIGAN AVE")</f>
        <v>0</v>
      </c>
      <c r="N123" t="s">
        <v>607</v>
      </c>
      <c r="P123" t="s">
        <v>720</v>
      </c>
      <c r="Q123" t="s">
        <v>895</v>
      </c>
      <c r="U123">
        <f>HYPERLINK("https://www.cookcountyassessoril.gov/pin/17343230300000", "17-34-323-030-0000")</f>
        <v>0</v>
      </c>
      <c r="V123" t="s">
        <v>965</v>
      </c>
    </row>
    <row r="124" spans="1:22">
      <c r="A124">
        <v>123</v>
      </c>
      <c r="B124" t="s">
        <v>135</v>
      </c>
      <c r="C124" t="s">
        <v>324</v>
      </c>
      <c r="D124" t="s">
        <v>404</v>
      </c>
      <c r="I124">
        <v>2000</v>
      </c>
      <c r="K124" t="s">
        <v>541</v>
      </c>
      <c r="L124">
        <f>HYPERLINK("https://maps.cookcountyil.gov/cookviewer/?search=7026 N ORIOLE AVE", "7026 N ORIOLE AVE")</f>
        <v>0</v>
      </c>
      <c r="N124" t="s">
        <v>607</v>
      </c>
      <c r="P124" t="s">
        <v>721</v>
      </c>
      <c r="Q124" t="s">
        <v>896</v>
      </c>
      <c r="U124">
        <f>HYPERLINK("https://www.cookcountyassessoril.gov/pin/09361050880000", "09-36-105-088-0000")</f>
        <v>0</v>
      </c>
      <c r="V124" t="s">
        <v>965</v>
      </c>
    </row>
    <row r="125" spans="1:22">
      <c r="A125">
        <v>124</v>
      </c>
      <c r="B125" t="s">
        <v>136</v>
      </c>
      <c r="C125" t="s">
        <v>325</v>
      </c>
      <c r="D125" t="s">
        <v>404</v>
      </c>
      <c r="I125">
        <v>800</v>
      </c>
      <c r="K125" t="s">
        <v>542</v>
      </c>
      <c r="L125">
        <f>HYPERLINK("https://maps.cookcountyil.gov/cookviewer/?search=1342 W OHIO ST", "1342 W OHIO ST")</f>
        <v>0</v>
      </c>
      <c r="N125" t="s">
        <v>607</v>
      </c>
      <c r="P125" t="s">
        <v>722</v>
      </c>
      <c r="Q125" t="s">
        <v>897</v>
      </c>
      <c r="U125">
        <f>HYPERLINK("https://www.cookcountyassessoril.gov/pin/17081180210000", "17-08-118-021-0000")</f>
        <v>0</v>
      </c>
      <c r="V125" t="s">
        <v>965</v>
      </c>
    </row>
    <row r="126" spans="1:22">
      <c r="A126">
        <v>125</v>
      </c>
      <c r="B126" t="s">
        <v>137</v>
      </c>
      <c r="C126" t="s">
        <v>326</v>
      </c>
      <c r="D126" t="s">
        <v>404</v>
      </c>
      <c r="I126">
        <v>3750</v>
      </c>
      <c r="K126" t="s">
        <v>543</v>
      </c>
      <c r="L126">
        <f>HYPERLINK("https://maps.cookcountyil.gov/cookviewer/?search=3304 S OAKLEY AVE", "3304 S OAKLEY AVE")</f>
        <v>0</v>
      </c>
      <c r="N126" t="s">
        <v>607</v>
      </c>
      <c r="P126" t="s">
        <v>721</v>
      </c>
      <c r="Q126" t="s">
        <v>898</v>
      </c>
      <c r="U126">
        <f>HYPERLINK("https://www.cookcountyassessoril.gov/pin/17311040410000", "17-31-104-041-0000")</f>
        <v>0</v>
      </c>
      <c r="V126" t="s">
        <v>965</v>
      </c>
    </row>
    <row r="127" spans="1:22">
      <c r="A127">
        <v>126</v>
      </c>
      <c r="B127" t="s">
        <v>138</v>
      </c>
      <c r="C127" t="s">
        <v>327</v>
      </c>
      <c r="D127" t="s">
        <v>419</v>
      </c>
      <c r="I127">
        <v>45210</v>
      </c>
      <c r="K127" t="s">
        <v>544</v>
      </c>
      <c r="L127">
        <f>HYPERLINK("https://maps.cookcountyil.gov/cookviewer/?search=521 W ROOT ST", "521 W ROOT ST")</f>
        <v>0</v>
      </c>
      <c r="N127" t="s">
        <v>607</v>
      </c>
      <c r="P127" t="s">
        <v>723</v>
      </c>
      <c r="Q127" t="s">
        <v>899</v>
      </c>
      <c r="U127">
        <f>HYPERLINK("https://www.cookcountyassessoril.gov/pin/20041210190000", "20-04-121-019-0000")</f>
        <v>0</v>
      </c>
      <c r="V127" t="s">
        <v>966</v>
      </c>
    </row>
    <row r="128" spans="1:22">
      <c r="A128">
        <v>127</v>
      </c>
      <c r="B128" t="s">
        <v>139</v>
      </c>
      <c r="C128" t="s">
        <v>328</v>
      </c>
      <c r="D128" t="s">
        <v>420</v>
      </c>
      <c r="I128">
        <v>3516</v>
      </c>
      <c r="K128" t="s">
        <v>545</v>
      </c>
      <c r="L128">
        <f>HYPERLINK("https://maps.cookcountyil.gov/cookviewer/?search=870 W LILL AVE", "870 W LILL AVE")</f>
        <v>0</v>
      </c>
      <c r="N128" t="s">
        <v>607</v>
      </c>
      <c r="P128" t="s">
        <v>721</v>
      </c>
      <c r="Q128" t="s">
        <v>900</v>
      </c>
      <c r="U128">
        <f>HYPERLINK("https://www.cookcountyassessoril.gov/pin/14294160901001", "14-29-416-090-1001"), =HYPERLINK("https://www.cookcountyassessoril.gov/pin/14294160901003", "14-29-416-090-1003"), =HYPERLINK("https://www.cookcountyassessoril.gov/pin/14294160901002", "14-29-416-090-1002")</f>
        <v>0</v>
      </c>
      <c r="V128" t="s">
        <v>965</v>
      </c>
    </row>
    <row r="129" spans="1:22">
      <c r="A129">
        <v>128</v>
      </c>
      <c r="B129" t="s">
        <v>140</v>
      </c>
      <c r="C129" t="s">
        <v>329</v>
      </c>
      <c r="D129" t="s">
        <v>404</v>
      </c>
      <c r="I129">
        <v>10000</v>
      </c>
      <c r="K129" t="s">
        <v>546</v>
      </c>
      <c r="L129">
        <f>HYPERLINK("https://maps.cookcountyil.gov/cookviewer/?search=9120 S PHILLIPS AVE", "9120 S PHILLIPS AVE")</f>
        <v>0</v>
      </c>
      <c r="N129" t="s">
        <v>607</v>
      </c>
      <c r="P129" t="s">
        <v>724</v>
      </c>
      <c r="Q129" t="s">
        <v>824</v>
      </c>
      <c r="U129">
        <f>HYPERLINK("https://www.cookcountyassessoril.gov/pin/26063000310000", "26-06-300-031-0000")</f>
        <v>0</v>
      </c>
      <c r="V129" t="s">
        <v>966</v>
      </c>
    </row>
    <row r="130" spans="1:22">
      <c r="A130">
        <v>129</v>
      </c>
      <c r="B130" t="s">
        <v>141</v>
      </c>
      <c r="C130" t="s">
        <v>330</v>
      </c>
      <c r="D130" t="s">
        <v>424</v>
      </c>
      <c r="I130">
        <v>20000</v>
      </c>
      <c r="K130" t="s">
        <v>547</v>
      </c>
      <c r="L130">
        <f>HYPERLINK("https://maps.cookcountyil.gov/cookviewer/?search=1500 W BELMONT AVE", "1500 W BELMONT AVE")</f>
        <v>0</v>
      </c>
      <c r="N130" t="s">
        <v>607</v>
      </c>
      <c r="P130" t="s">
        <v>725</v>
      </c>
      <c r="Q130" t="s">
        <v>901</v>
      </c>
      <c r="U130">
        <f>HYPERLINK("https://www.cookcountyassessoril.gov/pin/14203280460000", "14-20-328-046-0000")</f>
        <v>0</v>
      </c>
      <c r="V130" t="s">
        <v>966</v>
      </c>
    </row>
    <row r="131" spans="1:22">
      <c r="A131">
        <v>130</v>
      </c>
      <c r="B131" t="s">
        <v>142</v>
      </c>
      <c r="C131" t="s">
        <v>331</v>
      </c>
      <c r="D131" t="s">
        <v>404</v>
      </c>
      <c r="I131">
        <v>21675</v>
      </c>
      <c r="K131" t="s">
        <v>548</v>
      </c>
      <c r="L131">
        <f>HYPERLINK("https://maps.cookcountyil.gov/cookviewer/?search=10209 S SPRINGFIELD AVE", "10209 S SPRINGFIELD AVE")</f>
        <v>0</v>
      </c>
      <c r="N131" t="s">
        <v>607</v>
      </c>
      <c r="P131" t="s">
        <v>726</v>
      </c>
      <c r="Q131" t="s">
        <v>902</v>
      </c>
      <c r="U131">
        <f>HYPERLINK("https://www.cookcountyassessoril.gov/pin/24113010070000", "24-11-301-007-0000")</f>
        <v>0</v>
      </c>
      <c r="V131" t="s">
        <v>966</v>
      </c>
    </row>
    <row r="132" spans="1:22">
      <c r="A132">
        <v>131</v>
      </c>
      <c r="B132" t="s">
        <v>143</v>
      </c>
      <c r="C132" t="s">
        <v>332</v>
      </c>
      <c r="D132" t="s">
        <v>408</v>
      </c>
      <c r="I132">
        <v>3000</v>
      </c>
      <c r="K132" t="s">
        <v>549</v>
      </c>
      <c r="L132">
        <f>HYPERLINK("https://maps.cookcountyil.gov/cookviewer/?search=51 E 89TH ST", "51 E 89TH ST")</f>
        <v>0</v>
      </c>
      <c r="N132" t="s">
        <v>607</v>
      </c>
      <c r="P132" t="s">
        <v>727</v>
      </c>
      <c r="Q132" t="s">
        <v>903</v>
      </c>
      <c r="U132">
        <f>HYPERLINK("https://www.cookcountyassessoril.gov/pin/25031300290000", "25-03-130-029-0000")</f>
        <v>0</v>
      </c>
      <c r="V132" t="s">
        <v>965</v>
      </c>
    </row>
    <row r="133" spans="1:22">
      <c r="A133">
        <v>132</v>
      </c>
      <c r="B133" t="s">
        <v>144</v>
      </c>
      <c r="C133" t="s">
        <v>333</v>
      </c>
      <c r="D133" t="s">
        <v>423</v>
      </c>
      <c r="I133">
        <v>4040</v>
      </c>
      <c r="K133" t="s">
        <v>550</v>
      </c>
      <c r="L133">
        <f>HYPERLINK("https://maps.cookcountyil.gov/cookviewer/?search=1900 N SHEFFIELD AVE", "1900 N SHEFFIELD AVE")</f>
        <v>0</v>
      </c>
      <c r="N133" t="s">
        <v>607</v>
      </c>
      <c r="P133" t="s">
        <v>721</v>
      </c>
      <c r="Q133" t="s">
        <v>904</v>
      </c>
      <c r="U133" t="s">
        <v>964</v>
      </c>
      <c r="V133" t="s">
        <v>965</v>
      </c>
    </row>
    <row r="134" spans="1:22">
      <c r="A134">
        <v>133</v>
      </c>
      <c r="B134" t="s">
        <v>145</v>
      </c>
      <c r="C134" t="s">
        <v>334</v>
      </c>
      <c r="D134" t="s">
        <v>410</v>
      </c>
      <c r="I134">
        <v>2500</v>
      </c>
      <c r="K134" t="s">
        <v>551</v>
      </c>
      <c r="L134">
        <f>HYPERLINK("https://maps.cookcountyil.gov/cookviewer/?search=710 N CENTRAL PARK AVE", "710 N CENTRAL PARK AVE")</f>
        <v>0</v>
      </c>
      <c r="N134" t="s">
        <v>607</v>
      </c>
      <c r="P134" t="s">
        <v>728</v>
      </c>
      <c r="Q134" t="s">
        <v>905</v>
      </c>
      <c r="U134">
        <f>HYPERLINK("https://www.cookcountyassessoril.gov/pin/16111070320000", "16-11-107-032-0000")</f>
        <v>0</v>
      </c>
      <c r="V134" t="s">
        <v>965</v>
      </c>
    </row>
    <row r="135" spans="1:22">
      <c r="A135">
        <v>134</v>
      </c>
      <c r="B135" t="s">
        <v>146</v>
      </c>
      <c r="C135" t="s">
        <v>335</v>
      </c>
      <c r="D135" t="s">
        <v>406</v>
      </c>
      <c r="I135">
        <v>5000</v>
      </c>
      <c r="K135" t="s">
        <v>552</v>
      </c>
      <c r="L135">
        <f>HYPERLINK("https://maps.cookcountyil.gov/cookviewer/?search=4822 N LONG AVE", "4822 N LONG AVE")</f>
        <v>0</v>
      </c>
      <c r="N135" t="s">
        <v>607</v>
      </c>
      <c r="P135" t="s">
        <v>729</v>
      </c>
      <c r="Q135" t="s">
        <v>906</v>
      </c>
      <c r="U135" t="s">
        <v>964</v>
      </c>
      <c r="V135" t="s">
        <v>965</v>
      </c>
    </row>
    <row r="136" spans="1:22">
      <c r="A136">
        <v>135</v>
      </c>
      <c r="B136" t="s">
        <v>147</v>
      </c>
      <c r="C136" t="s">
        <v>336</v>
      </c>
      <c r="D136" t="s">
        <v>406</v>
      </c>
      <c r="I136">
        <v>1000</v>
      </c>
      <c r="K136" t="s">
        <v>553</v>
      </c>
      <c r="L136">
        <f>HYPERLINK("https://maps.cookcountyil.gov/cookviewer/?search=840 W 66TH ST", "840 W 66TH ST")</f>
        <v>0</v>
      </c>
      <c r="N136" t="s">
        <v>607</v>
      </c>
      <c r="P136" t="s">
        <v>730</v>
      </c>
      <c r="Q136" t="s">
        <v>907</v>
      </c>
      <c r="U136">
        <f>HYPERLINK("https://www.cookcountyassessoril.gov/pin/20202220410000", "20-20-222-041-0000")</f>
        <v>0</v>
      </c>
      <c r="V136" t="s">
        <v>965</v>
      </c>
    </row>
    <row r="137" spans="1:22">
      <c r="A137">
        <v>136</v>
      </c>
      <c r="B137" t="s">
        <v>148</v>
      </c>
      <c r="C137" t="s">
        <v>337</v>
      </c>
      <c r="D137" t="s">
        <v>406</v>
      </c>
      <c r="I137">
        <v>6480</v>
      </c>
      <c r="K137" t="s">
        <v>554</v>
      </c>
      <c r="L137">
        <f>HYPERLINK("https://maps.cookcountyil.gov/cookviewer/?search=3928 N SEELEY AVE", "3928 N SEELEY AVE")</f>
        <v>0</v>
      </c>
      <c r="N137" t="s">
        <v>607</v>
      </c>
      <c r="P137" t="s">
        <v>731</v>
      </c>
      <c r="Q137" t="s">
        <v>908</v>
      </c>
      <c r="U137">
        <f>HYPERLINK("https://www.cookcountyassessoril.gov/pin/14191060250000", "14-19-106-025-0000")</f>
        <v>0</v>
      </c>
      <c r="V137" t="s">
        <v>966</v>
      </c>
    </row>
    <row r="138" spans="1:22">
      <c r="A138">
        <v>137</v>
      </c>
      <c r="B138" t="s">
        <v>149</v>
      </c>
      <c r="C138" t="s">
        <v>338</v>
      </c>
      <c r="D138" t="s">
        <v>424</v>
      </c>
      <c r="I138">
        <v>500</v>
      </c>
      <c r="K138" t="s">
        <v>555</v>
      </c>
      <c r="L138">
        <f>HYPERLINK("https://maps.cookcountyil.gov/cookviewer/?search=858 N WOLCOTT AVE", "858 N WOLCOTT AVE")</f>
        <v>0</v>
      </c>
      <c r="N138" t="s">
        <v>607</v>
      </c>
      <c r="P138" t="s">
        <v>732</v>
      </c>
      <c r="Q138" t="s">
        <v>909</v>
      </c>
      <c r="U138">
        <f>HYPERLINK("https://www.cookcountyassessoril.gov/pin/17064340220000", "17-06-434-022-0000")</f>
        <v>0</v>
      </c>
      <c r="V138" t="s">
        <v>965</v>
      </c>
    </row>
    <row r="139" spans="1:22">
      <c r="A139">
        <v>138</v>
      </c>
      <c r="B139" t="s">
        <v>150</v>
      </c>
      <c r="C139" t="s">
        <v>339</v>
      </c>
      <c r="D139" t="s">
        <v>408</v>
      </c>
      <c r="I139">
        <v>2000</v>
      </c>
      <c r="K139" t="s">
        <v>556</v>
      </c>
      <c r="L139">
        <f>HYPERLINK("https://maps.cookcountyil.gov/cookviewer/?search=3612 N CICERO AVE", "3612 N CICERO AVE")</f>
        <v>0</v>
      </c>
      <c r="N139" t="s">
        <v>607</v>
      </c>
      <c r="P139" t="s">
        <v>733</v>
      </c>
      <c r="Q139" t="s">
        <v>910</v>
      </c>
      <c r="U139">
        <f>HYPERLINK("https://www.cookcountyassessoril.gov/pin/13212310290000", "13-21-231-029-0000")</f>
        <v>0</v>
      </c>
      <c r="V139" t="s">
        <v>965</v>
      </c>
    </row>
    <row r="140" spans="1:22">
      <c r="A140">
        <v>139</v>
      </c>
      <c r="B140" t="s">
        <v>151</v>
      </c>
      <c r="C140" t="s">
        <v>340</v>
      </c>
      <c r="D140" t="s">
        <v>404</v>
      </c>
      <c r="I140">
        <v>700</v>
      </c>
      <c r="K140" t="s">
        <v>557</v>
      </c>
      <c r="L140">
        <f>HYPERLINK("https://maps.cookcountyil.gov/cookviewer/?search=5829 S MELVINA AVE", "5829 S MELVINA AVE")</f>
        <v>0</v>
      </c>
      <c r="N140" t="s">
        <v>607</v>
      </c>
      <c r="P140" t="s">
        <v>734</v>
      </c>
      <c r="Q140" t="s">
        <v>911</v>
      </c>
      <c r="U140">
        <f>HYPERLINK("https://www.cookcountyassessoril.gov/pin/19171280100000", "19-17-128-010-0000")</f>
        <v>0</v>
      </c>
      <c r="V140" t="s">
        <v>965</v>
      </c>
    </row>
    <row r="141" spans="1:22">
      <c r="A141">
        <v>140</v>
      </c>
      <c r="B141" t="s">
        <v>152</v>
      </c>
      <c r="C141" t="s">
        <v>341</v>
      </c>
      <c r="D141" t="s">
        <v>406</v>
      </c>
      <c r="I141">
        <v>29780</v>
      </c>
      <c r="K141" t="s">
        <v>558</v>
      </c>
      <c r="L141">
        <f>HYPERLINK("https://maps.cookcountyil.gov/cookviewer/?search=2755 N LAKEWOOD AVE", "2755 N LAKEWOOD AVE")</f>
        <v>0</v>
      </c>
      <c r="N141" t="s">
        <v>607</v>
      </c>
      <c r="P141" t="s">
        <v>735</v>
      </c>
      <c r="Q141" t="s">
        <v>912</v>
      </c>
      <c r="U141" t="s">
        <v>964</v>
      </c>
      <c r="V141" t="s">
        <v>965</v>
      </c>
    </row>
    <row r="142" spans="1:22">
      <c r="A142">
        <v>141</v>
      </c>
      <c r="B142" t="s">
        <v>153</v>
      </c>
      <c r="C142" t="s">
        <v>342</v>
      </c>
      <c r="D142" t="s">
        <v>408</v>
      </c>
      <c r="I142">
        <v>4000</v>
      </c>
      <c r="K142" t="s">
        <v>559</v>
      </c>
      <c r="L142">
        <f>HYPERLINK("https://maps.cookcountyil.gov/cookviewer/?search=6454 S STEWART AVE", "6454 S STEWART AVE")</f>
        <v>0</v>
      </c>
      <c r="N142" t="s">
        <v>607</v>
      </c>
      <c r="P142" t="s">
        <v>736</v>
      </c>
      <c r="Q142" t="s">
        <v>913</v>
      </c>
      <c r="U142">
        <f>HYPERLINK("https://www.cookcountyassessoril.gov/pin/20211140340000", "20-21-114-034-0000"), =HYPERLINK("https://www.cookcountyassessoril.gov/pin/20212000040000", "20-21-200-004-0000")</f>
        <v>0</v>
      </c>
      <c r="V142" t="s">
        <v>965</v>
      </c>
    </row>
    <row r="143" spans="1:22">
      <c r="A143">
        <v>142</v>
      </c>
      <c r="B143" t="s">
        <v>111</v>
      </c>
      <c r="C143" t="s">
        <v>343</v>
      </c>
      <c r="D143" t="s">
        <v>407</v>
      </c>
      <c r="I143">
        <v>350</v>
      </c>
      <c r="K143" t="s">
        <v>517</v>
      </c>
      <c r="L143">
        <f>HYPERLINK("https://maps.cookcountyil.gov/cookviewer/?search=10663 S CHAMPLAIN AVE", "10663 S CHAMPLAIN AVE")</f>
        <v>0</v>
      </c>
      <c r="N143" t="s">
        <v>607</v>
      </c>
      <c r="P143" t="s">
        <v>696</v>
      </c>
      <c r="Q143" t="s">
        <v>914</v>
      </c>
      <c r="U143">
        <f>HYPERLINK("https://www.cookcountyassessoril.gov/pin/25152280320000", "25-15-228-032-0000")</f>
        <v>0</v>
      </c>
      <c r="V143" t="s">
        <v>965</v>
      </c>
    </row>
    <row r="144" spans="1:22">
      <c r="A144">
        <v>143</v>
      </c>
      <c r="B144" t="s">
        <v>154</v>
      </c>
      <c r="C144" t="s">
        <v>344</v>
      </c>
      <c r="D144" t="s">
        <v>428</v>
      </c>
      <c r="I144">
        <v>25000</v>
      </c>
      <c r="K144" t="s">
        <v>560</v>
      </c>
      <c r="L144">
        <f>HYPERLINK("https://maps.cookcountyil.gov/cookviewer/?search=3414 S PARNELL AVE", "3414 S PARNELL AVE")</f>
        <v>0</v>
      </c>
      <c r="N144" t="s">
        <v>607</v>
      </c>
      <c r="P144" t="s">
        <v>737</v>
      </c>
      <c r="Q144" t="s">
        <v>915</v>
      </c>
      <c r="U144">
        <f>HYPERLINK("https://www.cookcountyassessoril.gov/pin/17331220780000", "17-33-122-078-0000")</f>
        <v>0</v>
      </c>
      <c r="V144" t="s">
        <v>966</v>
      </c>
    </row>
    <row r="145" spans="1:22">
      <c r="A145">
        <v>144</v>
      </c>
      <c r="B145" t="s">
        <v>155</v>
      </c>
      <c r="C145" t="s">
        <v>345</v>
      </c>
      <c r="D145" t="s">
        <v>404</v>
      </c>
      <c r="I145">
        <v>20450</v>
      </c>
      <c r="K145" t="s">
        <v>561</v>
      </c>
      <c r="L145">
        <f>HYPERLINK("https://maps.cookcountyil.gov/cookviewer/?search=3942 W CONGRESS PKWY", "3942 W CONGRESS PKWY")</f>
        <v>0</v>
      </c>
      <c r="N145" t="s">
        <v>607</v>
      </c>
      <c r="P145" t="s">
        <v>738</v>
      </c>
      <c r="Q145" t="s">
        <v>916</v>
      </c>
      <c r="U145" t="s">
        <v>964</v>
      </c>
      <c r="V145" t="s">
        <v>966</v>
      </c>
    </row>
    <row r="146" spans="1:22">
      <c r="A146">
        <v>145</v>
      </c>
      <c r="B146" t="s">
        <v>156</v>
      </c>
      <c r="C146" t="s">
        <v>346</v>
      </c>
      <c r="D146" t="s">
        <v>404</v>
      </c>
      <c r="I146">
        <v>1500</v>
      </c>
      <c r="K146" t="s">
        <v>562</v>
      </c>
      <c r="L146">
        <f>HYPERLINK("https://maps.cookcountyil.gov/cookviewer/?search=7309 N ODELL AVE", "7309 N ODELL AVE")</f>
        <v>0</v>
      </c>
      <c r="N146" t="s">
        <v>607</v>
      </c>
      <c r="P146" t="s">
        <v>739</v>
      </c>
      <c r="Q146" t="s">
        <v>794</v>
      </c>
      <c r="U146">
        <f>HYPERLINK("https://www.cookcountyassessoril.gov/pin/09254220580000", "09-25-422-058-0000")</f>
        <v>0</v>
      </c>
      <c r="V146" t="s">
        <v>965</v>
      </c>
    </row>
    <row r="147" spans="1:22">
      <c r="A147">
        <v>146</v>
      </c>
      <c r="B147" t="s">
        <v>157</v>
      </c>
      <c r="C147" t="s">
        <v>347</v>
      </c>
      <c r="D147" t="s">
        <v>404</v>
      </c>
      <c r="I147">
        <v>1575</v>
      </c>
      <c r="K147" t="s">
        <v>563</v>
      </c>
      <c r="L147">
        <f>HYPERLINK("https://maps.cookcountyil.gov/cookviewer/?search=1346 W SUNNYSIDE AVE", "1346 W SUNNYSIDE AVE")</f>
        <v>0</v>
      </c>
      <c r="N147" t="s">
        <v>607</v>
      </c>
      <c r="P147" t="s">
        <v>740</v>
      </c>
      <c r="Q147" t="s">
        <v>917</v>
      </c>
      <c r="U147" t="s">
        <v>964</v>
      </c>
      <c r="V147" t="s">
        <v>965</v>
      </c>
    </row>
    <row r="148" spans="1:22">
      <c r="A148">
        <v>147</v>
      </c>
      <c r="B148" t="s">
        <v>158</v>
      </c>
      <c r="C148" t="s">
        <v>348</v>
      </c>
      <c r="D148" t="s">
        <v>404</v>
      </c>
      <c r="I148">
        <v>228000</v>
      </c>
      <c r="K148" t="s">
        <v>564</v>
      </c>
      <c r="L148">
        <f>HYPERLINK("https://maps.cookcountyil.gov/cookviewer/?search=676 N ST CLAIR ST", "676 N ST CLAIR ST")</f>
        <v>0</v>
      </c>
      <c r="N148" t="s">
        <v>607</v>
      </c>
      <c r="P148" t="s">
        <v>673</v>
      </c>
      <c r="Q148" t="s">
        <v>918</v>
      </c>
      <c r="U148" t="s">
        <v>964</v>
      </c>
      <c r="V148" t="s">
        <v>965</v>
      </c>
    </row>
    <row r="149" spans="1:22">
      <c r="A149">
        <v>148</v>
      </c>
      <c r="B149" t="s">
        <v>159</v>
      </c>
      <c r="C149" t="s">
        <v>349</v>
      </c>
      <c r="D149" t="s">
        <v>406</v>
      </c>
      <c r="I149">
        <v>13600</v>
      </c>
      <c r="K149" t="s">
        <v>565</v>
      </c>
      <c r="L149">
        <f>HYPERLINK("https://maps.cookcountyil.gov/cookviewer/?search=2915 N GRESHAM AVE", "2915 N GRESHAM AVE")</f>
        <v>0</v>
      </c>
      <c r="N149" t="s">
        <v>607</v>
      </c>
      <c r="P149" t="s">
        <v>741</v>
      </c>
      <c r="Q149" t="s">
        <v>919</v>
      </c>
      <c r="U149" t="s">
        <v>964</v>
      </c>
      <c r="V149" t="s">
        <v>966</v>
      </c>
    </row>
    <row r="150" spans="1:22">
      <c r="A150">
        <v>149</v>
      </c>
      <c r="B150" t="s">
        <v>160</v>
      </c>
      <c r="C150" t="s">
        <v>350</v>
      </c>
      <c r="D150" t="s">
        <v>404</v>
      </c>
      <c r="I150">
        <v>1500</v>
      </c>
      <c r="K150" t="s">
        <v>566</v>
      </c>
      <c r="L150">
        <f>HYPERLINK("https://maps.cookcountyil.gov/cookviewer/?search=7942 S ARTESIAN AVE", "7942 S ARTESIAN AVE")</f>
        <v>0</v>
      </c>
      <c r="N150" t="s">
        <v>607</v>
      </c>
      <c r="P150" t="s">
        <v>742</v>
      </c>
      <c r="Q150" t="s">
        <v>794</v>
      </c>
      <c r="U150">
        <f>HYPERLINK("https://www.cookcountyassessoril.gov/pin/19362060340000", "19-36-206-034-0000")</f>
        <v>0</v>
      </c>
      <c r="V150" t="s">
        <v>965</v>
      </c>
    </row>
    <row r="151" spans="1:22">
      <c r="A151">
        <v>150</v>
      </c>
      <c r="B151" t="s">
        <v>161</v>
      </c>
      <c r="C151" t="s">
        <v>351</v>
      </c>
      <c r="D151" t="s">
        <v>410</v>
      </c>
      <c r="I151">
        <v>475415</v>
      </c>
      <c r="K151" t="s">
        <v>567</v>
      </c>
      <c r="L151">
        <f>HYPERLINK("https://maps.cookcountyil.gov/cookviewer/?search=5145 N CALIFORNIA AVE", "5145 N CALIFORNIA AVE")</f>
        <v>0</v>
      </c>
      <c r="N151" t="s">
        <v>607</v>
      </c>
      <c r="P151" t="s">
        <v>743</v>
      </c>
      <c r="Q151" t="s">
        <v>920</v>
      </c>
      <c r="U151">
        <f>HYPERLINK("https://www.cookcountyassessoril.gov/pin/13123060090000", "13-12-306-009-0000"), =HYPERLINK("https://www.cookcountyassessoril.gov/pin/13123060120000", "13-12-306-012-0000")</f>
        <v>0</v>
      </c>
      <c r="V151" t="s">
        <v>965</v>
      </c>
    </row>
    <row r="152" spans="1:22">
      <c r="A152">
        <v>151</v>
      </c>
      <c r="B152" t="s">
        <v>113</v>
      </c>
      <c r="C152" t="s">
        <v>352</v>
      </c>
      <c r="D152" t="s">
        <v>406</v>
      </c>
      <c r="I152">
        <v>20712</v>
      </c>
      <c r="K152" t="s">
        <v>519</v>
      </c>
      <c r="L152">
        <f>HYPERLINK("https://maps.cookcountyil.gov/cookviewer/?search=3403 W 64TH PL", "3403 W 64TH PL")</f>
        <v>0</v>
      </c>
      <c r="N152" t="s">
        <v>607</v>
      </c>
      <c r="P152" t="s">
        <v>699</v>
      </c>
      <c r="Q152" t="s">
        <v>921</v>
      </c>
      <c r="U152">
        <f>HYPERLINK("https://www.cookcountyassessoril.gov/pin/19232130170000", "19-23-213-017-0000")</f>
        <v>0</v>
      </c>
      <c r="V152" t="s">
        <v>966</v>
      </c>
    </row>
    <row r="153" spans="1:22">
      <c r="A153">
        <v>152</v>
      </c>
      <c r="B153" t="s">
        <v>162</v>
      </c>
      <c r="C153" t="s">
        <v>353</v>
      </c>
      <c r="D153" t="s">
        <v>404</v>
      </c>
      <c r="I153">
        <v>1500</v>
      </c>
      <c r="K153" t="s">
        <v>568</v>
      </c>
      <c r="L153">
        <f>HYPERLINK("https://maps.cookcountyil.gov/cookviewer/?search=3901 W 51ST ST", "3901 W 51ST ST")</f>
        <v>0</v>
      </c>
      <c r="N153" t="s">
        <v>607</v>
      </c>
      <c r="P153" t="s">
        <v>744</v>
      </c>
      <c r="Q153" t="s">
        <v>783</v>
      </c>
      <c r="U153">
        <f>HYPERLINK("https://www.cookcountyassessoril.gov/pin/19113010710000", "19-11-301-071-0000")</f>
        <v>0</v>
      </c>
      <c r="V153" t="s">
        <v>965</v>
      </c>
    </row>
    <row r="154" spans="1:22">
      <c r="A154">
        <v>153</v>
      </c>
      <c r="B154" t="s">
        <v>163</v>
      </c>
      <c r="C154" t="s">
        <v>354</v>
      </c>
      <c r="D154" t="s">
        <v>406</v>
      </c>
      <c r="I154">
        <v>10000</v>
      </c>
      <c r="K154" t="s">
        <v>569</v>
      </c>
      <c r="L154">
        <f>HYPERLINK("https://maps.cookcountyil.gov/cookviewer/?search=120 N LA SALLE ST", "120 N LA SALLE ST")</f>
        <v>0</v>
      </c>
      <c r="N154" t="s">
        <v>607</v>
      </c>
      <c r="P154" t="s">
        <v>745</v>
      </c>
      <c r="Q154" t="s">
        <v>922</v>
      </c>
      <c r="U154" t="s">
        <v>964</v>
      </c>
      <c r="V154" t="s">
        <v>965</v>
      </c>
    </row>
    <row r="155" spans="1:22">
      <c r="A155">
        <v>154</v>
      </c>
      <c r="B155" t="s">
        <v>164</v>
      </c>
      <c r="C155" t="s">
        <v>355</v>
      </c>
      <c r="D155" t="s">
        <v>404</v>
      </c>
      <c r="I155">
        <v>333655</v>
      </c>
      <c r="K155" t="s">
        <v>570</v>
      </c>
      <c r="L155">
        <f>HYPERLINK("https://maps.cookcountyil.gov/cookviewer/?search=421 W BARRY AVE", "421 W BARRY AVE")</f>
        <v>0</v>
      </c>
      <c r="N155" t="s">
        <v>607</v>
      </c>
      <c r="P155" t="s">
        <v>746</v>
      </c>
      <c r="Q155" t="s">
        <v>923</v>
      </c>
      <c r="U155">
        <f>HYPERLINK("https://www.cookcountyassessoril.gov/pin/14281090060000", "14-28-109-006-0000")</f>
        <v>0</v>
      </c>
      <c r="V155" t="s">
        <v>966</v>
      </c>
    </row>
    <row r="156" spans="1:22">
      <c r="A156">
        <v>155</v>
      </c>
      <c r="B156" t="s">
        <v>165</v>
      </c>
      <c r="C156" t="s">
        <v>356</v>
      </c>
      <c r="D156" t="s">
        <v>406</v>
      </c>
      <c r="I156">
        <v>22000</v>
      </c>
      <c r="K156" t="s">
        <v>571</v>
      </c>
      <c r="L156">
        <f>HYPERLINK("https://maps.cookcountyil.gov/cookviewer/?search=2317 N ROCKWELL ST", "2317 N ROCKWELL ST")</f>
        <v>0</v>
      </c>
      <c r="N156" t="s">
        <v>607</v>
      </c>
      <c r="P156" t="s">
        <v>747</v>
      </c>
      <c r="Q156" t="s">
        <v>924</v>
      </c>
      <c r="U156">
        <f>HYPERLINK("https://www.cookcountyassessoril.gov/pin/13362030140000", "13-36-203-014-0000")</f>
        <v>0</v>
      </c>
      <c r="V156" t="s">
        <v>965</v>
      </c>
    </row>
    <row r="157" spans="1:22">
      <c r="A157">
        <v>156</v>
      </c>
      <c r="B157" t="s">
        <v>166</v>
      </c>
      <c r="C157" t="s">
        <v>357</v>
      </c>
      <c r="D157" t="s">
        <v>406</v>
      </c>
      <c r="I157">
        <v>34300</v>
      </c>
      <c r="K157" t="s">
        <v>572</v>
      </c>
      <c r="L157">
        <f>HYPERLINK("https://maps.cookcountyil.gov/cookviewer/?search=1034 W MONROE ST", "1034 W MONROE ST")</f>
        <v>0</v>
      </c>
      <c r="N157" t="s">
        <v>607</v>
      </c>
      <c r="P157" t="s">
        <v>748</v>
      </c>
      <c r="Q157" t="s">
        <v>925</v>
      </c>
      <c r="U157">
        <f>HYPERLINK("https://www.cookcountyassessoril.gov/pin/17172050350000", "17-17-205-035-0000")</f>
        <v>0</v>
      </c>
      <c r="V157" t="s">
        <v>966</v>
      </c>
    </row>
    <row r="158" spans="1:22">
      <c r="A158">
        <v>157</v>
      </c>
      <c r="B158" t="s">
        <v>167</v>
      </c>
      <c r="C158" t="s">
        <v>358</v>
      </c>
      <c r="D158" t="s">
        <v>404</v>
      </c>
      <c r="I158">
        <v>6000</v>
      </c>
      <c r="K158" t="s">
        <v>573</v>
      </c>
      <c r="L158">
        <f>HYPERLINK("https://maps.cookcountyil.gov/cookviewer/?search=3556 W THORNDALE AVE", "3556 W THORNDALE AVE")</f>
        <v>0</v>
      </c>
      <c r="N158" t="s">
        <v>607</v>
      </c>
      <c r="P158" t="s">
        <v>749</v>
      </c>
      <c r="Q158" t="s">
        <v>926</v>
      </c>
      <c r="U158" t="s">
        <v>964</v>
      </c>
      <c r="V158" t="s">
        <v>965</v>
      </c>
    </row>
    <row r="159" spans="1:22">
      <c r="A159">
        <v>158</v>
      </c>
      <c r="B159" t="s">
        <v>105</v>
      </c>
      <c r="C159" t="s">
        <v>359</v>
      </c>
      <c r="D159" t="s">
        <v>404</v>
      </c>
      <c r="I159">
        <v>22917</v>
      </c>
      <c r="K159" t="s">
        <v>511</v>
      </c>
      <c r="L159">
        <f>HYPERLINK("https://maps.cookcountyil.gov/cookviewer/?search=10054 S CARPENTER ST", "10054 S CARPENTER ST")</f>
        <v>0</v>
      </c>
      <c r="N159" t="s">
        <v>607</v>
      </c>
      <c r="P159" t="s">
        <v>690</v>
      </c>
      <c r="Q159" t="s">
        <v>927</v>
      </c>
      <c r="U159">
        <f>HYPERLINK("https://www.cookcountyassessoril.gov/pin/25084100410000", "25-08-410-041-0000")</f>
        <v>0</v>
      </c>
      <c r="V159" t="s">
        <v>966</v>
      </c>
    </row>
    <row r="160" spans="1:22">
      <c r="A160">
        <v>159</v>
      </c>
      <c r="B160" t="s">
        <v>168</v>
      </c>
      <c r="C160" t="s">
        <v>360</v>
      </c>
      <c r="D160" t="s">
        <v>404</v>
      </c>
      <c r="I160">
        <v>21196</v>
      </c>
      <c r="K160" t="s">
        <v>574</v>
      </c>
      <c r="L160">
        <f>HYPERLINK("https://maps.cookcountyil.gov/cookviewer/?search=7211 S HARDING AVE", "7211 S HARDING AVE")</f>
        <v>0</v>
      </c>
      <c r="N160" t="s">
        <v>607</v>
      </c>
      <c r="P160" t="s">
        <v>750</v>
      </c>
      <c r="Q160" t="s">
        <v>928</v>
      </c>
      <c r="U160">
        <f>HYPERLINK("https://www.cookcountyassessoril.gov/pin/19261080210000", "19-26-108-021-0000")</f>
        <v>0</v>
      </c>
      <c r="V160" t="s">
        <v>966</v>
      </c>
    </row>
    <row r="161" spans="1:22">
      <c r="A161">
        <v>160</v>
      </c>
      <c r="B161" t="s">
        <v>169</v>
      </c>
      <c r="C161" t="s">
        <v>361</v>
      </c>
      <c r="D161" t="s">
        <v>417</v>
      </c>
      <c r="I161">
        <v>3800</v>
      </c>
      <c r="K161" t="s">
        <v>575</v>
      </c>
      <c r="L161">
        <f>HYPERLINK("https://maps.cookcountyil.gov/cookviewer/?search=6227 S HERMITAGE AVE", "6227 S HERMITAGE AVE")</f>
        <v>0</v>
      </c>
      <c r="N161" t="s">
        <v>607</v>
      </c>
      <c r="P161" t="s">
        <v>751</v>
      </c>
      <c r="Q161" t="s">
        <v>929</v>
      </c>
      <c r="U161">
        <f>HYPERLINK("https://www.cookcountyassessoril.gov/pin/20184290100000", "20-18-429-010-0000")</f>
        <v>0</v>
      </c>
      <c r="V161" t="s">
        <v>965</v>
      </c>
    </row>
    <row r="162" spans="1:22">
      <c r="A162">
        <v>161</v>
      </c>
      <c r="B162" t="s">
        <v>170</v>
      </c>
      <c r="C162" t="s">
        <v>362</v>
      </c>
      <c r="D162" t="s">
        <v>422</v>
      </c>
      <c r="I162">
        <v>20000</v>
      </c>
      <c r="K162" t="s">
        <v>576</v>
      </c>
      <c r="L162">
        <f>HYPERLINK("https://maps.cookcountyil.gov/cookviewer/?search=4812 S DREXEL BLVD", "4812 S DREXEL BLVD")</f>
        <v>0</v>
      </c>
      <c r="N162" t="s">
        <v>607</v>
      </c>
      <c r="P162" t="s">
        <v>752</v>
      </c>
      <c r="Q162" t="s">
        <v>930</v>
      </c>
      <c r="U162" t="s">
        <v>964</v>
      </c>
      <c r="V162" t="s">
        <v>966</v>
      </c>
    </row>
    <row r="163" spans="1:22">
      <c r="A163">
        <v>162</v>
      </c>
      <c r="B163" t="s">
        <v>168</v>
      </c>
      <c r="C163" t="s">
        <v>363</v>
      </c>
      <c r="D163" t="s">
        <v>404</v>
      </c>
      <c r="I163">
        <v>8732</v>
      </c>
      <c r="K163" t="s">
        <v>574</v>
      </c>
      <c r="L163">
        <f>HYPERLINK("https://maps.cookcountyil.gov/cookviewer/?search=7211 S HARDING AVE", "7211 S HARDING AVE")</f>
        <v>0</v>
      </c>
      <c r="N163" t="s">
        <v>607</v>
      </c>
      <c r="P163" t="s">
        <v>750</v>
      </c>
      <c r="Q163" t="s">
        <v>931</v>
      </c>
      <c r="U163">
        <f>HYPERLINK("https://www.cookcountyassessoril.gov/pin/19261080210000", "19-26-108-021-0000")</f>
        <v>0</v>
      </c>
      <c r="V163" t="s">
        <v>966</v>
      </c>
    </row>
    <row r="164" spans="1:22">
      <c r="A164">
        <v>163</v>
      </c>
      <c r="B164" t="s">
        <v>171</v>
      </c>
      <c r="C164" t="s">
        <v>364</v>
      </c>
      <c r="D164" t="s">
        <v>408</v>
      </c>
      <c r="I164">
        <v>1791500</v>
      </c>
      <c r="K164" t="s">
        <v>577</v>
      </c>
      <c r="L164">
        <f>HYPERLINK("https://maps.cookcountyil.gov/cookviewer/?search=150 S WACKER DR", "150 S WACKER DR")</f>
        <v>0</v>
      </c>
      <c r="N164" t="s">
        <v>607</v>
      </c>
      <c r="P164" t="s">
        <v>753</v>
      </c>
      <c r="Q164" t="s">
        <v>932</v>
      </c>
      <c r="U164">
        <f>HYPERLINK("https://www.cookcountyassessoril.gov/pin/17162070050000", "17-16-207-005-0000")</f>
        <v>0</v>
      </c>
      <c r="V164" t="s">
        <v>966</v>
      </c>
    </row>
    <row r="165" spans="1:22">
      <c r="A165">
        <v>164</v>
      </c>
      <c r="B165" t="s">
        <v>107</v>
      </c>
      <c r="C165" t="s">
        <v>365</v>
      </c>
      <c r="D165" t="s">
        <v>406</v>
      </c>
      <c r="I165">
        <v>18859</v>
      </c>
      <c r="K165" t="s">
        <v>513</v>
      </c>
      <c r="L165">
        <f>HYPERLINK("https://maps.cookcountyil.gov/cookviewer/?search=3837 N NEVA AVE", "3837 N NEVA AVE")</f>
        <v>0</v>
      </c>
      <c r="N165" t="s">
        <v>607</v>
      </c>
      <c r="P165" t="s">
        <v>692</v>
      </c>
      <c r="Q165" t="s">
        <v>933</v>
      </c>
      <c r="U165">
        <f>HYPERLINK("https://www.cookcountyassessoril.gov/pin/13191100450000", "13-19-110-045-0000")</f>
        <v>0</v>
      </c>
      <c r="V165" t="s">
        <v>966</v>
      </c>
    </row>
    <row r="166" spans="1:22">
      <c r="A166">
        <v>165</v>
      </c>
      <c r="B166" t="s">
        <v>107</v>
      </c>
      <c r="C166" t="s">
        <v>366</v>
      </c>
      <c r="D166" t="s">
        <v>406</v>
      </c>
      <c r="I166">
        <v>10290</v>
      </c>
      <c r="K166" t="s">
        <v>513</v>
      </c>
      <c r="L166">
        <f>HYPERLINK("https://maps.cookcountyil.gov/cookviewer/?search=3837 N NEVA AVE", "3837 N NEVA AVE")</f>
        <v>0</v>
      </c>
      <c r="N166" t="s">
        <v>607</v>
      </c>
      <c r="P166" t="s">
        <v>692</v>
      </c>
      <c r="Q166" t="s">
        <v>934</v>
      </c>
      <c r="U166">
        <f>HYPERLINK("https://www.cookcountyassessoril.gov/pin/13191100450000", "13-19-110-045-0000")</f>
        <v>0</v>
      </c>
      <c r="V166" t="s">
        <v>966</v>
      </c>
    </row>
    <row r="167" spans="1:22">
      <c r="A167">
        <v>166</v>
      </c>
      <c r="B167" t="s">
        <v>172</v>
      </c>
      <c r="C167" t="s">
        <v>367</v>
      </c>
      <c r="D167" t="s">
        <v>406</v>
      </c>
      <c r="I167">
        <v>5000</v>
      </c>
      <c r="K167" t="s">
        <v>578</v>
      </c>
      <c r="L167">
        <f>HYPERLINK("https://maps.cookcountyil.gov/cookviewer/?search=2100 E 75TH ST", "2100 E 75TH ST")</f>
        <v>0</v>
      </c>
      <c r="N167" t="s">
        <v>607</v>
      </c>
      <c r="P167" t="s">
        <v>754</v>
      </c>
      <c r="Q167" t="s">
        <v>935</v>
      </c>
      <c r="U167">
        <f>HYPERLINK("https://www.cookcountyassessoril.gov/pin/20252230250000", "20-25-223-025-0000")</f>
        <v>0</v>
      </c>
      <c r="V167" t="s">
        <v>965</v>
      </c>
    </row>
    <row r="168" spans="1:22">
      <c r="A168">
        <v>167</v>
      </c>
      <c r="B168" t="s">
        <v>173</v>
      </c>
      <c r="C168" t="s">
        <v>368</v>
      </c>
      <c r="D168" t="s">
        <v>422</v>
      </c>
      <c r="I168">
        <v>20000</v>
      </c>
      <c r="K168" t="s">
        <v>579</v>
      </c>
      <c r="L168">
        <f>HYPERLINK("https://maps.cookcountyil.gov/cookviewer/?search=4814 S DREXEL BLVD", "4814 S DREXEL BLVD")</f>
        <v>0</v>
      </c>
      <c r="N168" t="s">
        <v>607</v>
      </c>
      <c r="P168" t="s">
        <v>752</v>
      </c>
      <c r="Q168" t="s">
        <v>930</v>
      </c>
      <c r="U168" t="s">
        <v>964</v>
      </c>
      <c r="V168" t="s">
        <v>966</v>
      </c>
    </row>
    <row r="169" spans="1:22">
      <c r="A169">
        <v>168</v>
      </c>
      <c r="B169" t="s">
        <v>108</v>
      </c>
      <c r="C169" t="s">
        <v>369</v>
      </c>
      <c r="D169" t="s">
        <v>406</v>
      </c>
      <c r="I169">
        <v>19638</v>
      </c>
      <c r="K169" t="s">
        <v>514</v>
      </c>
      <c r="L169">
        <f>HYPERLINK("https://maps.cookcountyil.gov/cookviewer/?search=7130 S WHIPPLE ST", "7130 S WHIPPLE ST")</f>
        <v>0</v>
      </c>
      <c r="N169" t="s">
        <v>607</v>
      </c>
      <c r="P169" t="s">
        <v>693</v>
      </c>
      <c r="Q169" t="s">
        <v>936</v>
      </c>
      <c r="U169">
        <f>HYPERLINK("https://www.cookcountyassessoril.gov/pin/19251020300000", "19-25-102-030-0000")</f>
        <v>0</v>
      </c>
      <c r="V169" t="s">
        <v>966</v>
      </c>
    </row>
    <row r="170" spans="1:22">
      <c r="A170">
        <v>169</v>
      </c>
      <c r="B170" t="s">
        <v>108</v>
      </c>
      <c r="C170" t="s">
        <v>370</v>
      </c>
      <c r="D170" t="s">
        <v>406</v>
      </c>
      <c r="I170">
        <v>7174</v>
      </c>
      <c r="K170" t="s">
        <v>514</v>
      </c>
      <c r="L170">
        <f>HYPERLINK("https://maps.cookcountyil.gov/cookviewer/?search=7130 S WHIPPLE ST", "7130 S WHIPPLE ST")</f>
        <v>0</v>
      </c>
      <c r="N170" t="s">
        <v>607</v>
      </c>
      <c r="P170" t="s">
        <v>693</v>
      </c>
      <c r="Q170" t="s">
        <v>937</v>
      </c>
      <c r="U170">
        <f>HYPERLINK("https://www.cookcountyassessoril.gov/pin/19251020300000", "19-25-102-030-0000")</f>
        <v>0</v>
      </c>
      <c r="V170" t="s">
        <v>966</v>
      </c>
    </row>
    <row r="171" spans="1:22">
      <c r="A171">
        <v>170</v>
      </c>
      <c r="B171" t="s">
        <v>174</v>
      </c>
      <c r="C171" t="s">
        <v>371</v>
      </c>
      <c r="D171" t="s">
        <v>422</v>
      </c>
      <c r="I171">
        <v>20000</v>
      </c>
      <c r="K171" t="s">
        <v>580</v>
      </c>
      <c r="L171">
        <f>HYPERLINK("https://maps.cookcountyil.gov/cookviewer/?search=4816 S DREXEL BLVD", "4816 S DREXEL BLVD")</f>
        <v>0</v>
      </c>
      <c r="N171" t="s">
        <v>607</v>
      </c>
      <c r="P171" t="s">
        <v>752</v>
      </c>
      <c r="Q171" t="s">
        <v>930</v>
      </c>
      <c r="U171" t="s">
        <v>964</v>
      </c>
      <c r="V171" t="s">
        <v>966</v>
      </c>
    </row>
    <row r="172" spans="1:22">
      <c r="A172">
        <v>171</v>
      </c>
      <c r="B172" t="s">
        <v>175</v>
      </c>
      <c r="C172" t="s">
        <v>372</v>
      </c>
      <c r="D172" t="s">
        <v>419</v>
      </c>
      <c r="I172">
        <v>59728</v>
      </c>
      <c r="K172" t="s">
        <v>581</v>
      </c>
      <c r="L172">
        <f>HYPERLINK("https://maps.cookcountyil.gov/cookviewer/?search=273 N CALIFORNIA AVE", "273 N CALIFORNIA AVE")</f>
        <v>0</v>
      </c>
      <c r="N172" t="s">
        <v>607</v>
      </c>
      <c r="P172" t="s">
        <v>695</v>
      </c>
      <c r="Q172" t="s">
        <v>938</v>
      </c>
      <c r="U172">
        <f>HYPERLINK("https://www.cookcountyassessoril.gov/pin/16124070830000", "16-12-407-083-0000")</f>
        <v>0</v>
      </c>
      <c r="V172" t="s">
        <v>966</v>
      </c>
    </row>
    <row r="173" spans="1:22">
      <c r="A173">
        <v>172</v>
      </c>
      <c r="B173" t="s">
        <v>176</v>
      </c>
      <c r="C173" t="s">
        <v>373</v>
      </c>
      <c r="D173" t="s">
        <v>404</v>
      </c>
      <c r="I173">
        <v>16590</v>
      </c>
      <c r="K173" t="s">
        <v>463</v>
      </c>
      <c r="L173">
        <f>HYPERLINK("https://maps.cookcountyil.gov/cookviewer/?search=222 W MERCHANDISE MART PLZ", "222 W MERCHANDISE MART PLZ")</f>
        <v>0</v>
      </c>
      <c r="N173" t="s">
        <v>607</v>
      </c>
      <c r="P173" t="s">
        <v>755</v>
      </c>
      <c r="Q173" t="s">
        <v>939</v>
      </c>
      <c r="U173" t="s">
        <v>964</v>
      </c>
      <c r="V173" t="s">
        <v>965</v>
      </c>
    </row>
    <row r="174" spans="1:22">
      <c r="A174">
        <v>173</v>
      </c>
      <c r="B174" t="s">
        <v>177</v>
      </c>
      <c r="C174" t="s">
        <v>374</v>
      </c>
      <c r="D174" t="s">
        <v>406</v>
      </c>
      <c r="I174">
        <v>22138</v>
      </c>
      <c r="K174" t="s">
        <v>582</v>
      </c>
      <c r="L174">
        <f>HYPERLINK("https://maps.cookcountyil.gov/cookviewer/?search=3824 W PIPPIN ST", "3824 W PIPPIN ST")</f>
        <v>0</v>
      </c>
      <c r="N174" t="s">
        <v>607</v>
      </c>
      <c r="P174" t="s">
        <v>756</v>
      </c>
      <c r="Q174" t="s">
        <v>940</v>
      </c>
      <c r="U174">
        <f>HYPERLINK("https://www.cookcountyassessoril.gov/pin/19263180470000", "19-26-318-047-0000")</f>
        <v>0</v>
      </c>
      <c r="V174" t="s">
        <v>966</v>
      </c>
    </row>
    <row r="175" spans="1:22">
      <c r="A175">
        <v>174</v>
      </c>
      <c r="B175" t="s">
        <v>178</v>
      </c>
      <c r="C175" t="s">
        <v>375</v>
      </c>
      <c r="D175" t="s">
        <v>404</v>
      </c>
      <c r="I175">
        <v>20000</v>
      </c>
      <c r="K175" t="s">
        <v>583</v>
      </c>
      <c r="L175">
        <f>HYPERLINK("https://maps.cookcountyil.gov/cookviewer/?search=4818 S DREXEL BLVD", "4818 S DREXEL BLVD")</f>
        <v>0</v>
      </c>
      <c r="N175" t="s">
        <v>607</v>
      </c>
      <c r="P175" t="s">
        <v>752</v>
      </c>
      <c r="Q175" t="s">
        <v>930</v>
      </c>
      <c r="U175" t="s">
        <v>964</v>
      </c>
      <c r="V175" t="s">
        <v>966</v>
      </c>
    </row>
    <row r="176" spans="1:22">
      <c r="A176">
        <v>175</v>
      </c>
      <c r="B176" t="s">
        <v>179</v>
      </c>
      <c r="C176" t="s">
        <v>376</v>
      </c>
      <c r="D176" t="s">
        <v>408</v>
      </c>
      <c r="I176">
        <v>3000</v>
      </c>
      <c r="K176" t="s">
        <v>584</v>
      </c>
      <c r="L176">
        <f>HYPERLINK("https://maps.cookcountyil.gov/cookviewer/?search=935 W LELAND AVE", "935 W LELAND AVE")</f>
        <v>0</v>
      </c>
      <c r="N176" t="s">
        <v>607</v>
      </c>
      <c r="P176" t="s">
        <v>757</v>
      </c>
      <c r="Q176" t="s">
        <v>941</v>
      </c>
      <c r="U176">
        <f>HYPERLINK("https://www.cookcountyassessoril.gov/pin/14172120301006", "14-17-212-030-1006"), =HYPERLINK("https://www.cookcountyassessoril.gov/pin/14172120301002", "14-17-212-030-1002"), =HYPERLINK("https://www.cookcountyassessoril.gov/pin/14172120301001", "14-17-212-030-1001"), =HYPERLINK("https://www.cookcountyassessoril.gov/pin/14172120301005", "14-17-212-030-1005")</f>
        <v>0</v>
      </c>
      <c r="V176" t="s">
        <v>965</v>
      </c>
    </row>
    <row r="177" spans="1:22">
      <c r="A177">
        <v>176</v>
      </c>
      <c r="B177" t="s">
        <v>160</v>
      </c>
      <c r="C177" t="s">
        <v>377</v>
      </c>
      <c r="D177" t="s">
        <v>406</v>
      </c>
      <c r="I177">
        <v>36939</v>
      </c>
      <c r="K177" t="s">
        <v>566</v>
      </c>
      <c r="L177">
        <f>HYPERLINK("https://maps.cookcountyil.gov/cookviewer/?search=7942 S ARTESIAN AVE", "7942 S ARTESIAN AVE")</f>
        <v>0</v>
      </c>
      <c r="N177" t="s">
        <v>607</v>
      </c>
      <c r="P177" t="s">
        <v>742</v>
      </c>
      <c r="Q177" t="s">
        <v>942</v>
      </c>
      <c r="U177">
        <f>HYPERLINK("https://www.cookcountyassessoril.gov/pin/19362060340000", "19-36-206-034-0000")</f>
        <v>0</v>
      </c>
      <c r="V177" t="s">
        <v>966</v>
      </c>
    </row>
    <row r="178" spans="1:22">
      <c r="A178">
        <v>177</v>
      </c>
      <c r="B178" t="s">
        <v>180</v>
      </c>
      <c r="C178" t="s">
        <v>378</v>
      </c>
      <c r="D178" t="s">
        <v>404</v>
      </c>
      <c r="I178">
        <v>3100</v>
      </c>
      <c r="K178" t="s">
        <v>585</v>
      </c>
      <c r="L178">
        <f>HYPERLINK("https://maps.cookcountyil.gov/cookviewer/?search=3126 W WALLEN AVE", "3126 W WALLEN AVE")</f>
        <v>0</v>
      </c>
      <c r="N178" t="s">
        <v>607</v>
      </c>
      <c r="P178" t="s">
        <v>758</v>
      </c>
      <c r="Q178" t="s">
        <v>896</v>
      </c>
      <c r="U178">
        <f>HYPERLINK("https://www.cookcountyassessoril.gov/pin/10363000560000", "10-36-300-056-0000")</f>
        <v>0</v>
      </c>
      <c r="V178" t="s">
        <v>965</v>
      </c>
    </row>
    <row r="179" spans="1:22">
      <c r="A179">
        <v>178</v>
      </c>
      <c r="B179" t="s">
        <v>25</v>
      </c>
      <c r="C179" t="s">
        <v>379</v>
      </c>
      <c r="D179" t="s">
        <v>406</v>
      </c>
      <c r="I179">
        <v>22138</v>
      </c>
      <c r="K179" t="s">
        <v>431</v>
      </c>
      <c r="L179">
        <f>HYPERLINK("https://maps.cookcountyil.gov/cookviewer/?search=7834 S KENWOOD AVE", "7834 S KENWOOD AVE")</f>
        <v>0</v>
      </c>
      <c r="N179" t="s">
        <v>607</v>
      </c>
      <c r="P179" t="s">
        <v>610</v>
      </c>
      <c r="Q179" t="s">
        <v>943</v>
      </c>
      <c r="U179">
        <f>HYPERLINK("https://www.cookcountyassessoril.gov/pin/20264260290000", "20-26-426-029-0000")</f>
        <v>0</v>
      </c>
      <c r="V179" t="s">
        <v>966</v>
      </c>
    </row>
    <row r="180" spans="1:22">
      <c r="A180">
        <v>179</v>
      </c>
      <c r="B180" t="s">
        <v>181</v>
      </c>
      <c r="C180" t="s">
        <v>380</v>
      </c>
      <c r="D180" t="s">
        <v>413</v>
      </c>
      <c r="I180">
        <v>5000</v>
      </c>
      <c r="K180" t="s">
        <v>586</v>
      </c>
      <c r="L180">
        <f>HYPERLINK("https://maps.cookcountyil.gov/cookviewer/?search=1357 W FULLERTON AVE", "1357 W FULLERTON AVE")</f>
        <v>0</v>
      </c>
      <c r="N180" t="s">
        <v>607</v>
      </c>
      <c r="P180" t="s">
        <v>759</v>
      </c>
      <c r="Q180" t="s">
        <v>944</v>
      </c>
      <c r="U180" t="s">
        <v>964</v>
      </c>
      <c r="V180" t="s">
        <v>966</v>
      </c>
    </row>
    <row r="181" spans="1:22">
      <c r="A181">
        <v>180</v>
      </c>
      <c r="B181" t="s">
        <v>182</v>
      </c>
      <c r="C181" t="s">
        <v>381</v>
      </c>
      <c r="D181" t="s">
        <v>404</v>
      </c>
      <c r="I181">
        <v>14177</v>
      </c>
      <c r="K181" t="s">
        <v>587</v>
      </c>
      <c r="L181">
        <f>HYPERLINK("https://maps.cookcountyil.gov/cookviewer/?search=6211 W BERENICE AVE", "6211 W BERENICE AVE")</f>
        <v>0</v>
      </c>
      <c r="N181" t="s">
        <v>607</v>
      </c>
      <c r="P181" t="s">
        <v>760</v>
      </c>
      <c r="Q181" t="s">
        <v>945</v>
      </c>
      <c r="U181">
        <f>HYPERLINK("https://www.cookcountyassessoril.gov/pin/13201100190000", "13-20-110-019-0000")</f>
        <v>0</v>
      </c>
      <c r="V181" t="s">
        <v>966</v>
      </c>
    </row>
    <row r="182" spans="1:22">
      <c r="A182">
        <v>181</v>
      </c>
      <c r="B182" t="s">
        <v>162</v>
      </c>
      <c r="C182" t="s">
        <v>382</v>
      </c>
      <c r="D182" t="s">
        <v>406</v>
      </c>
      <c r="I182">
        <v>19022</v>
      </c>
      <c r="K182" t="s">
        <v>568</v>
      </c>
      <c r="L182">
        <f>HYPERLINK("https://maps.cookcountyil.gov/cookviewer/?search=3901 W 51ST ST", "3901 W 51ST ST")</f>
        <v>0</v>
      </c>
      <c r="N182" t="s">
        <v>607</v>
      </c>
      <c r="P182" t="s">
        <v>744</v>
      </c>
      <c r="Q182" t="s">
        <v>946</v>
      </c>
      <c r="U182">
        <f>HYPERLINK("https://www.cookcountyassessoril.gov/pin/19113010710000", "19-11-301-071-0000")</f>
        <v>0</v>
      </c>
      <c r="V182" t="s">
        <v>966</v>
      </c>
    </row>
    <row r="183" spans="1:22">
      <c r="A183">
        <v>182</v>
      </c>
      <c r="B183" t="s">
        <v>183</v>
      </c>
      <c r="C183" t="s">
        <v>383</v>
      </c>
      <c r="D183" t="s">
        <v>406</v>
      </c>
      <c r="I183">
        <v>31486</v>
      </c>
      <c r="K183" t="s">
        <v>588</v>
      </c>
      <c r="L183">
        <f>HYPERLINK("https://maps.cookcountyil.gov/cookviewer/?search=1346 N MENARD AVE", "1346 N MENARD AVE")</f>
        <v>0</v>
      </c>
      <c r="N183" t="s">
        <v>607</v>
      </c>
      <c r="P183" t="s">
        <v>761</v>
      </c>
      <c r="Q183" t="s">
        <v>947</v>
      </c>
      <c r="U183">
        <f>HYPERLINK("https://www.cookcountyassessoril.gov/pin/16052190220000", "16-05-219-022-0000")</f>
        <v>0</v>
      </c>
      <c r="V183" t="s">
        <v>966</v>
      </c>
    </row>
    <row r="184" spans="1:22">
      <c r="A184">
        <v>183</v>
      </c>
      <c r="B184" t="s">
        <v>184</v>
      </c>
      <c r="C184" t="s">
        <v>384</v>
      </c>
      <c r="D184" t="s">
        <v>404</v>
      </c>
      <c r="I184">
        <v>28600</v>
      </c>
      <c r="K184" t="s">
        <v>589</v>
      </c>
      <c r="L184">
        <f>HYPERLINK("https://maps.cookcountyil.gov/cookviewer/?search=2725 N KEDZIE AVE", "2725 N KEDZIE AVE")</f>
        <v>0</v>
      </c>
      <c r="N184" t="s">
        <v>607</v>
      </c>
      <c r="P184" t="s">
        <v>762</v>
      </c>
      <c r="Q184" t="s">
        <v>948</v>
      </c>
      <c r="U184" t="s">
        <v>964</v>
      </c>
      <c r="V184" t="s">
        <v>966</v>
      </c>
    </row>
    <row r="185" spans="1:22">
      <c r="A185">
        <v>184</v>
      </c>
      <c r="B185" t="s">
        <v>185</v>
      </c>
      <c r="C185" t="s">
        <v>385</v>
      </c>
      <c r="D185" t="s">
        <v>404</v>
      </c>
      <c r="I185">
        <v>22794</v>
      </c>
      <c r="K185" t="s">
        <v>590</v>
      </c>
      <c r="L185">
        <f>HYPERLINK("https://maps.cookcountyil.gov/cookviewer/?search=2106 N LATROBE AVE", "2106 N LATROBE AVE")</f>
        <v>0</v>
      </c>
      <c r="N185" t="s">
        <v>607</v>
      </c>
      <c r="P185" t="s">
        <v>763</v>
      </c>
      <c r="Q185" t="s">
        <v>949</v>
      </c>
      <c r="U185">
        <f>HYPERLINK("https://www.cookcountyassessoril.gov/pin/13331110380000", "13-33-111-038-0000")</f>
        <v>0</v>
      </c>
      <c r="V185" t="s">
        <v>966</v>
      </c>
    </row>
    <row r="186" spans="1:22">
      <c r="A186">
        <v>185</v>
      </c>
      <c r="B186" t="s">
        <v>186</v>
      </c>
      <c r="C186" t="s">
        <v>386</v>
      </c>
      <c r="D186" t="s">
        <v>414</v>
      </c>
      <c r="I186">
        <v>307142</v>
      </c>
      <c r="K186" t="s">
        <v>591</v>
      </c>
      <c r="L186">
        <f>HYPERLINK("https://maps.cookcountyil.gov/cookviewer/?search=1540 N STATE PKWY", "1540 N STATE PKWY")</f>
        <v>0</v>
      </c>
      <c r="N186" t="s">
        <v>607</v>
      </c>
      <c r="P186" t="s">
        <v>764</v>
      </c>
      <c r="Q186" t="s">
        <v>950</v>
      </c>
      <c r="U186" t="s">
        <v>964</v>
      </c>
      <c r="V186" t="s">
        <v>965</v>
      </c>
    </row>
    <row r="187" spans="1:22">
      <c r="A187">
        <v>186</v>
      </c>
      <c r="B187" t="s">
        <v>187</v>
      </c>
      <c r="C187" t="s">
        <v>387</v>
      </c>
      <c r="D187" t="s">
        <v>417</v>
      </c>
      <c r="I187">
        <v>1750</v>
      </c>
      <c r="K187" t="s">
        <v>592</v>
      </c>
      <c r="L187">
        <f>HYPERLINK("https://maps.cookcountyil.gov/cookviewer/?search=450 W BRIAR PL", "450 W BRIAR PL")</f>
        <v>0</v>
      </c>
      <c r="N187" t="s">
        <v>607</v>
      </c>
      <c r="P187" t="s">
        <v>765</v>
      </c>
      <c r="Q187" t="s">
        <v>951</v>
      </c>
      <c r="U187" t="s">
        <v>964</v>
      </c>
      <c r="V187" t="s">
        <v>965</v>
      </c>
    </row>
    <row r="188" spans="1:22">
      <c r="A188">
        <v>187</v>
      </c>
      <c r="B188" t="s">
        <v>188</v>
      </c>
      <c r="C188" t="s">
        <v>388</v>
      </c>
      <c r="D188" t="s">
        <v>410</v>
      </c>
      <c r="I188">
        <v>150000</v>
      </c>
      <c r="K188" t="s">
        <v>593</v>
      </c>
      <c r="L188">
        <f>HYPERLINK("https://maps.cookcountyil.gov/cookviewer/?search=4405 W 44TH ST", "4405 W 44TH ST")</f>
        <v>0</v>
      </c>
      <c r="N188" t="s">
        <v>607</v>
      </c>
      <c r="P188" t="s">
        <v>766</v>
      </c>
      <c r="Q188" t="s">
        <v>952</v>
      </c>
      <c r="U188">
        <f>HYPERLINK("https://www.cookcountyassessoril.gov/pin/19034001440000", "19-03-400-144-0000"), =HYPERLINK("https://www.cookcountyassessoril.gov/pin/19034001450000", "19-03-400-145-0000")</f>
        <v>0</v>
      </c>
      <c r="V188" t="s">
        <v>966</v>
      </c>
    </row>
    <row r="189" spans="1:22">
      <c r="A189">
        <v>188</v>
      </c>
      <c r="B189" t="s">
        <v>189</v>
      </c>
      <c r="C189" t="s">
        <v>389</v>
      </c>
      <c r="D189" t="s">
        <v>423</v>
      </c>
      <c r="I189">
        <v>19613</v>
      </c>
      <c r="K189" t="s">
        <v>594</v>
      </c>
      <c r="L189">
        <f>HYPERLINK("https://maps.cookcountyil.gov/cookviewer/?search=10019 S WALLACE ST", "10019 S WALLACE ST")</f>
        <v>0</v>
      </c>
      <c r="N189" t="s">
        <v>607</v>
      </c>
      <c r="P189" t="s">
        <v>767</v>
      </c>
      <c r="Q189" t="s">
        <v>953</v>
      </c>
      <c r="U189">
        <f>HYPERLINK("https://www.cookcountyassessoril.gov/pin/25093120050000", "25-09-312-005-0000")</f>
        <v>0</v>
      </c>
      <c r="V189" t="s">
        <v>965</v>
      </c>
    </row>
    <row r="190" spans="1:22">
      <c r="A190">
        <v>189</v>
      </c>
      <c r="B190" t="s">
        <v>190</v>
      </c>
      <c r="C190" t="s">
        <v>390</v>
      </c>
      <c r="D190" t="s">
        <v>406</v>
      </c>
      <c r="I190">
        <v>300</v>
      </c>
      <c r="K190" t="s">
        <v>595</v>
      </c>
      <c r="L190">
        <f>HYPERLINK("https://maps.cookcountyil.gov/cookviewer/?search=5216 W LAWRENCE AVE", "5216 W LAWRENCE AVE")</f>
        <v>0</v>
      </c>
      <c r="N190" t="s">
        <v>607</v>
      </c>
      <c r="P190" t="s">
        <v>768</v>
      </c>
      <c r="Q190" t="s">
        <v>954</v>
      </c>
      <c r="U190" t="s">
        <v>964</v>
      </c>
      <c r="V190" t="s">
        <v>965</v>
      </c>
    </row>
    <row r="191" spans="1:22">
      <c r="A191">
        <v>190</v>
      </c>
      <c r="B191" t="s">
        <v>191</v>
      </c>
      <c r="C191" t="s">
        <v>391</v>
      </c>
      <c r="D191" t="s">
        <v>404</v>
      </c>
      <c r="I191">
        <v>29691</v>
      </c>
      <c r="K191" t="s">
        <v>596</v>
      </c>
      <c r="L191">
        <f>HYPERLINK("https://maps.cookcountyil.gov/cookviewer/?search=7418 W ADDISON ST", "7418 W ADDISON ST")</f>
        <v>0</v>
      </c>
      <c r="N191" t="s">
        <v>607</v>
      </c>
      <c r="P191" t="s">
        <v>769</v>
      </c>
      <c r="Q191" t="s">
        <v>858</v>
      </c>
      <c r="U191">
        <f>HYPERLINK("https://www.cookcountyassessoril.gov/pin/12242280240000", "12-24-228-024-0000")</f>
        <v>0</v>
      </c>
      <c r="V191" t="s">
        <v>966</v>
      </c>
    </row>
    <row r="192" spans="1:22">
      <c r="A192">
        <v>191</v>
      </c>
      <c r="B192" t="s">
        <v>192</v>
      </c>
      <c r="C192" t="s">
        <v>392</v>
      </c>
      <c r="D192" t="s">
        <v>414</v>
      </c>
      <c r="I192">
        <v>6250</v>
      </c>
      <c r="K192" t="s">
        <v>597</v>
      </c>
      <c r="L192">
        <f>HYPERLINK("https://maps.cookcountyil.gov/cookviewer/?search=6 S LAFLIN ST", "6 S LAFLIN ST")</f>
        <v>0</v>
      </c>
      <c r="N192" t="s">
        <v>607</v>
      </c>
      <c r="P192" t="s">
        <v>770</v>
      </c>
      <c r="Q192" t="s">
        <v>955</v>
      </c>
      <c r="U192" t="s">
        <v>964</v>
      </c>
      <c r="V192" t="s">
        <v>966</v>
      </c>
    </row>
    <row r="193" spans="1:22">
      <c r="A193">
        <v>192</v>
      </c>
      <c r="B193" t="s">
        <v>193</v>
      </c>
      <c r="C193" t="s">
        <v>393</v>
      </c>
      <c r="D193" t="s">
        <v>419</v>
      </c>
      <c r="I193">
        <v>5000</v>
      </c>
      <c r="K193" t="s">
        <v>598</v>
      </c>
      <c r="L193">
        <f>HYPERLINK("https://maps.cookcountyil.gov/cookviewer/?search=3762 N HARDING AVE", "3762 N HARDING AVE")</f>
        <v>0</v>
      </c>
      <c r="N193" t="s">
        <v>607</v>
      </c>
      <c r="P193" t="s">
        <v>771</v>
      </c>
      <c r="Q193" t="s">
        <v>956</v>
      </c>
      <c r="U193">
        <f>HYPERLINK("https://www.cookcountyassessoril.gov/pin/13231160210000", "13-23-116-021-0000")</f>
        <v>0</v>
      </c>
      <c r="V193" t="s">
        <v>965</v>
      </c>
    </row>
    <row r="194" spans="1:22">
      <c r="A194">
        <v>193</v>
      </c>
      <c r="B194" t="s">
        <v>194</v>
      </c>
      <c r="C194" t="s">
        <v>394</v>
      </c>
      <c r="D194" t="s">
        <v>404</v>
      </c>
      <c r="I194">
        <v>22513</v>
      </c>
      <c r="K194" t="s">
        <v>599</v>
      </c>
      <c r="L194">
        <f>HYPERLINK("https://maps.cookcountyil.gov/cookviewer/?search=6019 S FAIRFIELD AVE", "6019 S FAIRFIELD AVE")</f>
        <v>0</v>
      </c>
      <c r="N194" t="s">
        <v>607</v>
      </c>
      <c r="P194" t="s">
        <v>772</v>
      </c>
      <c r="Q194" t="s">
        <v>856</v>
      </c>
      <c r="U194">
        <f>HYPERLINK("https://www.cookcountyassessoril.gov/pin/19134090070000", "19-13-409-007-0000")</f>
        <v>0</v>
      </c>
      <c r="V194" t="s">
        <v>966</v>
      </c>
    </row>
    <row r="195" spans="1:22">
      <c r="A195">
        <v>194</v>
      </c>
      <c r="B195" t="s">
        <v>195</v>
      </c>
      <c r="C195" t="s">
        <v>395</v>
      </c>
      <c r="D195" t="s">
        <v>404</v>
      </c>
      <c r="I195">
        <v>25800</v>
      </c>
      <c r="K195" t="s">
        <v>600</v>
      </c>
      <c r="L195">
        <f>HYPERLINK("https://maps.cookcountyil.gov/cookviewer/?search=5333 N OZANAM AVE", "5333 N OZANAM AVE")</f>
        <v>0</v>
      </c>
      <c r="N195" t="s">
        <v>607</v>
      </c>
      <c r="P195" t="s">
        <v>773</v>
      </c>
      <c r="Q195" t="s">
        <v>957</v>
      </c>
      <c r="U195">
        <f>HYPERLINK("https://www.cookcountyassessoril.gov/pin/12121140160000", "12-12-114-016-0000")</f>
        <v>0</v>
      </c>
      <c r="V195" t="s">
        <v>966</v>
      </c>
    </row>
    <row r="196" spans="1:22">
      <c r="A196">
        <v>195</v>
      </c>
      <c r="B196" t="s">
        <v>196</v>
      </c>
      <c r="C196" t="s">
        <v>396</v>
      </c>
      <c r="D196" t="s">
        <v>404</v>
      </c>
      <c r="I196">
        <v>32644</v>
      </c>
      <c r="K196" t="s">
        <v>601</v>
      </c>
      <c r="L196">
        <f>HYPERLINK("https://maps.cookcountyil.gov/cookviewer/?search=2434 N LOWELL AVE", "2434 N LOWELL AVE")</f>
        <v>0</v>
      </c>
      <c r="N196" t="s">
        <v>607</v>
      </c>
      <c r="P196" t="s">
        <v>774</v>
      </c>
      <c r="Q196" t="s">
        <v>958</v>
      </c>
      <c r="U196" t="s">
        <v>964</v>
      </c>
      <c r="V196" t="s">
        <v>966</v>
      </c>
    </row>
    <row r="197" spans="1:22">
      <c r="A197">
        <v>196</v>
      </c>
      <c r="B197" t="s">
        <v>197</v>
      </c>
      <c r="C197" t="s">
        <v>397</v>
      </c>
      <c r="D197" t="s">
        <v>406</v>
      </c>
      <c r="I197">
        <v>32300</v>
      </c>
      <c r="K197" t="s">
        <v>602</v>
      </c>
      <c r="L197">
        <f>HYPERLINK("https://maps.cookcountyil.gov/cookviewer/?search=1640 E 86TH PL", "1640 E 86TH PL")</f>
        <v>0</v>
      </c>
      <c r="N197" t="s">
        <v>607</v>
      </c>
      <c r="P197" t="s">
        <v>775</v>
      </c>
      <c r="Q197" t="s">
        <v>959</v>
      </c>
      <c r="U197">
        <f>HYPERLINK("https://www.cookcountyassessoril.gov/pin/20363240350000", "20-36-324-035-0000")</f>
        <v>0</v>
      </c>
      <c r="V197" t="s">
        <v>966</v>
      </c>
    </row>
    <row r="198" spans="1:22">
      <c r="A198">
        <v>197</v>
      </c>
      <c r="B198" t="s">
        <v>198</v>
      </c>
      <c r="C198" t="s">
        <v>398</v>
      </c>
      <c r="D198" t="s">
        <v>410</v>
      </c>
      <c r="I198">
        <v>3500</v>
      </c>
      <c r="K198" t="s">
        <v>603</v>
      </c>
      <c r="L198">
        <f>HYPERLINK("https://maps.cookcountyil.gov/cookviewer/?search=7557 S COTTAGE GROVE AVE", "7557 S COTTAGE GROVE AVE")</f>
        <v>0</v>
      </c>
      <c r="N198" t="s">
        <v>607</v>
      </c>
      <c r="P198" t="s">
        <v>776</v>
      </c>
      <c r="Q198" t="s">
        <v>960</v>
      </c>
      <c r="U198">
        <f>HYPERLINK("https://www.cookcountyassessoril.gov/pin/20263000200000", "20-26-300-020-0000")</f>
        <v>0</v>
      </c>
      <c r="V198" t="s">
        <v>965</v>
      </c>
    </row>
    <row r="199" spans="1:22">
      <c r="A199">
        <v>198</v>
      </c>
      <c r="B199" t="s">
        <v>199</v>
      </c>
      <c r="C199" t="s">
        <v>399</v>
      </c>
      <c r="D199" t="s">
        <v>408</v>
      </c>
      <c r="I199">
        <v>2000</v>
      </c>
      <c r="K199" t="s">
        <v>604</v>
      </c>
      <c r="L199">
        <f>HYPERLINK("https://maps.cookcountyil.gov/cookviewer/?search=3048 N DRAKE AVE", "3048 N DRAKE AVE")</f>
        <v>0</v>
      </c>
      <c r="N199" t="s">
        <v>607</v>
      </c>
      <c r="P199" t="s">
        <v>777</v>
      </c>
      <c r="Q199" t="s">
        <v>961</v>
      </c>
      <c r="U199" t="s">
        <v>964</v>
      </c>
      <c r="V199" t="s">
        <v>965</v>
      </c>
    </row>
    <row r="200" spans="1:22">
      <c r="A200">
        <v>199</v>
      </c>
      <c r="B200" t="s">
        <v>200</v>
      </c>
      <c r="C200" t="s">
        <v>400</v>
      </c>
      <c r="D200" t="s">
        <v>409</v>
      </c>
      <c r="I200">
        <v>20000</v>
      </c>
      <c r="K200" t="s">
        <v>605</v>
      </c>
      <c r="L200">
        <f>HYPERLINK("https://maps.cookcountyil.gov/cookviewer/?search=565 W QUINCY ST", "565 W QUINCY ST")</f>
        <v>0</v>
      </c>
      <c r="N200" t="s">
        <v>607</v>
      </c>
      <c r="P200" t="s">
        <v>778</v>
      </c>
      <c r="Q200" t="s">
        <v>962</v>
      </c>
      <c r="U200">
        <f>HYPERLINK("https://www.cookcountyassessoril.gov/pin/17161130130000", "17-16-113-013-0000")</f>
        <v>0</v>
      </c>
      <c r="V200" t="s">
        <v>965</v>
      </c>
    </row>
    <row r="201" spans="1:22">
      <c r="A201">
        <v>200</v>
      </c>
      <c r="B201" t="s">
        <v>201</v>
      </c>
      <c r="C201" t="s">
        <v>401</v>
      </c>
      <c r="D201" t="s">
        <v>406</v>
      </c>
      <c r="I201">
        <v>29275</v>
      </c>
      <c r="K201" t="s">
        <v>606</v>
      </c>
      <c r="L201">
        <f>HYPERLINK("https://maps.cookcountyil.gov/cookviewer/?search=7335 S STEWART AVE", "7335 S STEWART AVE")</f>
        <v>0</v>
      </c>
      <c r="N201" t="s">
        <v>607</v>
      </c>
      <c r="P201" t="s">
        <v>779</v>
      </c>
      <c r="Q201" t="s">
        <v>963</v>
      </c>
      <c r="U201">
        <f>HYPERLINK("https://www.cookcountyassessoril.gov/pin/20282160090000", "20-28-216-009-0000")</f>
        <v>0</v>
      </c>
      <c r="V201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