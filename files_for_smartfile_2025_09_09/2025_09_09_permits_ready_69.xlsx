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<sst xmlns="http://schemas.openxmlformats.org/spreadsheetml/2006/main" count="1679" uniqueCount="956">
  <si>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</si>
  <si>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</si>
  <si>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</si>
  <si>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</si>
  <si>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</si>
  <si>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</si>
  <si>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</si>
  <si>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</si>
  <si>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</si>
  <si>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</si>
  <si>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</si>
  <si>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Property Address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</si>
  <si>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</si>
  <si>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</si>
  <si>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</si>
  <si>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</si>
  <si>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</si>
  <si>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</si>
  <si>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</si>
  <si>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</si>
  <si>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Suggested PINs</t>
  </si>
  <si>
    <t>Likely_Assessable</t>
  </si>
  <si>
    <t>user21</t>
  </si>
  <si>
    <t>14204070440000</t>
  </si>
  <si>
    <t>20304080260000</t>
  </si>
  <si>
    <t>14193030350000</t>
  </si>
  <si>
    <t>25053180200000</t>
  </si>
  <si>
    <t>17194260290000</t>
  </si>
  <si>
    <t>20292170320000</t>
  </si>
  <si>
    <t>17092430220000</t>
  </si>
  <si>
    <t>20283350020000</t>
  </si>
  <si>
    <t>25012110200000</t>
  </si>
  <si>
    <t>12081000060000</t>
  </si>
  <si>
    <t>11323010020000</t>
  </si>
  <si>
    <t>25192180020000</t>
  </si>
  <si>
    <t>17102100260000</t>
  </si>
  <si>
    <t>16253050120000</t>
  </si>
  <si>
    <t>17103080380000</t>
  </si>
  <si>
    <t>25064130040000</t>
  </si>
  <si>
    <t>20283350050000</t>
  </si>
  <si>
    <t>14204130780000</t>
  </si>
  <si>
    <t>14191000150000</t>
  </si>
  <si>
    <t>20083090250000</t>
  </si>
  <si>
    <t>14281030650000</t>
  </si>
  <si>
    <t>17281120060000</t>
  </si>
  <si>
    <t>13113160040000</t>
  </si>
  <si>
    <t>13164080040000</t>
  </si>
  <si>
    <t>11314140130000</t>
  </si>
  <si>
    <t>13052080160000</t>
  </si>
  <si>
    <t>13344070040000</t>
  </si>
  <si>
    <t>16131240060000</t>
  </si>
  <si>
    <t>13133060250000</t>
  </si>
  <si>
    <t>19122140390000</t>
  </si>
  <si>
    <t>13261020200000</t>
  </si>
  <si>
    <t>20331120320000</t>
  </si>
  <si>
    <t>20282160090000</t>
  </si>
  <si>
    <t>17101150030000</t>
  </si>
  <si>
    <t>17212110420000</t>
  </si>
  <si>
    <t>20021030490000</t>
  </si>
  <si>
    <t>13243110020000</t>
  </si>
  <si>
    <t>13202210360000</t>
  </si>
  <si>
    <t>14074080880000</t>
  </si>
  <si>
    <t>17162160090000</t>
  </si>
  <si>
    <t>13263230300000</t>
  </si>
  <si>
    <t>13251300230000</t>
  </si>
  <si>
    <t>13042290590000</t>
  </si>
  <si>
    <t>13042290600000</t>
  </si>
  <si>
    <t>17181270590000</t>
  </si>
  <si>
    <t>14213100670000</t>
  </si>
  <si>
    <t>14331120320000</t>
  </si>
  <si>
    <t>20321210020000</t>
  </si>
  <si>
    <t>13283270260000</t>
  </si>
  <si>
    <t>13214080350000</t>
  </si>
  <si>
    <t>20153070250000</t>
  </si>
  <si>
    <t>12011050600000</t>
  </si>
  <si>
    <t>16044020340000</t>
  </si>
  <si>
    <t>09254220580000</t>
  </si>
  <si>
    <t>19231260050000</t>
  </si>
  <si>
    <t>14292160250000</t>
  </si>
  <si>
    <t>13351100090000</t>
  </si>
  <si>
    <t>14291230270000</t>
  </si>
  <si>
    <t>17331030250000</t>
  </si>
  <si>
    <t>13051130190000</t>
  </si>
  <si>
    <t>13312130060000</t>
  </si>
  <si>
    <t>13082090530000</t>
  </si>
  <si>
    <t>10362200020000</t>
  </si>
  <si>
    <t>14202090030000</t>
  </si>
  <si>
    <t>14052020130000</t>
  </si>
  <si>
    <t>16161010550000</t>
  </si>
  <si>
    <t>13132000430000</t>
  </si>
  <si>
    <t>17283230390000</t>
  </si>
  <si>
    <t>19161000020000</t>
  </si>
  <si>
    <t>14294200590000</t>
  </si>
  <si>
    <t>17053030440000</t>
  </si>
  <si>
    <t>19364180160000</t>
  </si>
  <si>
    <t>17213180130000</t>
  </si>
  <si>
    <t>20332120010000</t>
  </si>
  <si>
    <t>13354130460000</t>
  </si>
  <si>
    <t>19171280100000</t>
  </si>
  <si>
    <t>20243100130000</t>
  </si>
  <si>
    <t>13093210380000</t>
  </si>
  <si>
    <t>14184240050000</t>
  </si>
  <si>
    <t>17053090790000</t>
  </si>
  <si>
    <t>20342050290000</t>
  </si>
  <si>
    <t>25202030260000</t>
  </si>
  <si>
    <t>14281041040000</t>
  </si>
  <si>
    <t>14211030300000</t>
  </si>
  <si>
    <t>17171030070000</t>
  </si>
  <si>
    <t>13164180110000</t>
  </si>
  <si>
    <t>11323280140000</t>
  </si>
  <si>
    <t>19262010500000</t>
  </si>
  <si>
    <t>17103180880000</t>
  </si>
  <si>
    <t>16082080250000</t>
  </si>
  <si>
    <t>20023160230000</t>
  </si>
  <si>
    <t>13304100190000</t>
  </si>
  <si>
    <t>25173240250000</t>
  </si>
  <si>
    <t>17094460160000</t>
  </si>
  <si>
    <t>13264120250000</t>
  </si>
  <si>
    <t>13362300380000</t>
  </si>
  <si>
    <t>13263200340000</t>
  </si>
  <si>
    <t>17322190230000</t>
  </si>
  <si>
    <t>20254220210000</t>
  </si>
  <si>
    <t>13132030210000</t>
  </si>
  <si>
    <t>20314260510000</t>
  </si>
  <si>
    <t>14331100020000</t>
  </si>
  <si>
    <t>13051180130000</t>
  </si>
  <si>
    <t>21311030420000</t>
  </si>
  <si>
    <t>20361020310000</t>
  </si>
  <si>
    <t>12232220410000</t>
  </si>
  <si>
    <t>14082030170000</t>
  </si>
  <si>
    <t>25061030380000</t>
  </si>
  <si>
    <t>09254120480000</t>
  </si>
  <si>
    <t>17091280170000</t>
  </si>
  <si>
    <t>13243140680000</t>
  </si>
  <si>
    <t>13211040260000</t>
  </si>
  <si>
    <t>16174080040000</t>
  </si>
  <si>
    <t>25053100490000</t>
  </si>
  <si>
    <t>14292020170000</t>
  </si>
  <si>
    <t>17283160230000</t>
  </si>
  <si>
    <t>19024300070000</t>
  </si>
  <si>
    <t>14213080630000</t>
  </si>
  <si>
    <t>14173030360000</t>
  </si>
  <si>
    <t>19034002000000</t>
  </si>
  <si>
    <t>20113050180000</t>
  </si>
  <si>
    <t>17072400280000</t>
  </si>
  <si>
    <t>17183200250000</t>
  </si>
  <si>
    <t>13241220380000</t>
  </si>
  <si>
    <t>12244040220000</t>
  </si>
  <si>
    <t>14054060220000</t>
  </si>
  <si>
    <t>12243120410000</t>
  </si>
  <si>
    <t>13254270170000</t>
  </si>
  <si>
    <t>17162010010000</t>
  </si>
  <si>
    <t>13051010020000</t>
  </si>
  <si>
    <t>13141190300000</t>
  </si>
  <si>
    <t>13091320490000</t>
  </si>
  <si>
    <t>14194140040000</t>
  </si>
  <si>
    <t>11323150310000</t>
  </si>
  <si>
    <t>16364260060000</t>
  </si>
  <si>
    <t>17151030220000</t>
  </si>
  <si>
    <t>17161030150000</t>
  </si>
  <si>
    <t>14182150090000</t>
  </si>
  <si>
    <t>17101370130000</t>
  </si>
  <si>
    <t>17084420050000</t>
  </si>
  <si>
    <t>17082550170000</t>
  </si>
  <si>
    <t>17094290190000</t>
  </si>
  <si>
    <t>17102170020000</t>
  </si>
  <si>
    <t>13073170090000</t>
  </si>
  <si>
    <t>13262070060000</t>
  </si>
  <si>
    <t>21313090450000</t>
  </si>
  <si>
    <t>13224290010000</t>
  </si>
  <si>
    <t>13214130400000</t>
  </si>
  <si>
    <t>13362210010000</t>
  </si>
  <si>
    <t>13322400510000</t>
  </si>
  <si>
    <t>13281190110000</t>
  </si>
  <si>
    <t>13191200510000</t>
  </si>
  <si>
    <t>20121140520000</t>
  </si>
  <si>
    <t>20083150050000</t>
  </si>
  <si>
    <t>13134080480000</t>
  </si>
  <si>
    <t>19181170180000</t>
  </si>
  <si>
    <t>13224210260000</t>
  </si>
  <si>
    <t>14051260330000</t>
  </si>
  <si>
    <t>14322170270000</t>
  </si>
  <si>
    <t>14181270220000</t>
  </si>
  <si>
    <t>25083030190000</t>
  </si>
  <si>
    <t>17164020470000</t>
  </si>
  <si>
    <t>20294060010000</t>
  </si>
  <si>
    <t>13063170040000</t>
  </si>
  <si>
    <t>20032140480000</t>
  </si>
  <si>
    <t>17094390520000</t>
  </si>
  <si>
    <t>19092160510000</t>
  </si>
  <si>
    <t>10253240140000</t>
  </si>
  <si>
    <t>19174260410000</t>
  </si>
  <si>
    <t>16032280230000</t>
  </si>
  <si>
    <t>10331120310000</t>
  </si>
  <si>
    <t>20112170400000</t>
  </si>
  <si>
    <t>25062200280000</t>
  </si>
  <si>
    <t>19361190730000</t>
  </si>
  <si>
    <t>B200435798</t>
  </si>
  <si>
    <t>B200435805</t>
  </si>
  <si>
    <t>B200435808</t>
  </si>
  <si>
    <t>B200435809</t>
  </si>
  <si>
    <t>B200435815</t>
  </si>
  <si>
    <t>B200435822</t>
  </si>
  <si>
    <t>B200435823</t>
  </si>
  <si>
    <t>B200435831</t>
  </si>
  <si>
    <t>B200435832</t>
  </si>
  <si>
    <t>B200435835</t>
  </si>
  <si>
    <t>B200435837</t>
  </si>
  <si>
    <t>B200435838</t>
  </si>
  <si>
    <t>B200435839</t>
  </si>
  <si>
    <t>B200435840</t>
  </si>
  <si>
    <t>B200435842</t>
  </si>
  <si>
    <t>B200435844</t>
  </si>
  <si>
    <t>B200435845</t>
  </si>
  <si>
    <t>B200435847</t>
  </si>
  <si>
    <t>B200435849</t>
  </si>
  <si>
    <t>B200435850</t>
  </si>
  <si>
    <t>B200435856</t>
  </si>
  <si>
    <t>B200435858</t>
  </si>
  <si>
    <t>B200435859</t>
  </si>
  <si>
    <t>B200435862</t>
  </si>
  <si>
    <t>B200435863</t>
  </si>
  <si>
    <t>B200435867</t>
  </si>
  <si>
    <t>B200435868</t>
  </si>
  <si>
    <t>B200435869</t>
  </si>
  <si>
    <t>B200435875</t>
  </si>
  <si>
    <t>B200435878</t>
  </si>
  <si>
    <t>B200435882</t>
  </si>
  <si>
    <t>B200435888</t>
  </si>
  <si>
    <t>B200435891</t>
  </si>
  <si>
    <t>B200435893</t>
  </si>
  <si>
    <t>B200435894</t>
  </si>
  <si>
    <t>B200435907</t>
  </si>
  <si>
    <t>B200435912</t>
  </si>
  <si>
    <t>B200435926</t>
  </si>
  <si>
    <t>B200435931</t>
  </si>
  <si>
    <t>B200435934</t>
  </si>
  <si>
    <t>B200435951</t>
  </si>
  <si>
    <t>B200435954</t>
  </si>
  <si>
    <t>B200435958</t>
  </si>
  <si>
    <t>B200435959</t>
  </si>
  <si>
    <t>B200435975</t>
  </si>
  <si>
    <t>B200435977</t>
  </si>
  <si>
    <t>B200435982</t>
  </si>
  <si>
    <t>B200435991</t>
  </si>
  <si>
    <t>B200435992</t>
  </si>
  <si>
    <t>B200435994</t>
  </si>
  <si>
    <t>B200435996</t>
  </si>
  <si>
    <t>B200435997</t>
  </si>
  <si>
    <t>B200435999</t>
  </si>
  <si>
    <t>B200436000</t>
  </si>
  <si>
    <t>B200436001</t>
  </si>
  <si>
    <t>B200436002</t>
  </si>
  <si>
    <t>B200436003</t>
  </si>
  <si>
    <t>B200436005</t>
  </si>
  <si>
    <t>B200436011</t>
  </si>
  <si>
    <t>B200436012</t>
  </si>
  <si>
    <t>B200436015</t>
  </si>
  <si>
    <t>B200436016</t>
  </si>
  <si>
    <t>B200436017</t>
  </si>
  <si>
    <t>B200436025</t>
  </si>
  <si>
    <t>B200436027</t>
  </si>
  <si>
    <t>B200436028</t>
  </si>
  <si>
    <t>B200436032</t>
  </si>
  <si>
    <t>B200436033</t>
  </si>
  <si>
    <t>B200436035</t>
  </si>
  <si>
    <t>B200436036</t>
  </si>
  <si>
    <t>B200436040</t>
  </si>
  <si>
    <t>B200436042</t>
  </si>
  <si>
    <t>B200436044</t>
  </si>
  <si>
    <t>B200436050</t>
  </si>
  <si>
    <t>B200436052</t>
  </si>
  <si>
    <t>B200436054</t>
  </si>
  <si>
    <t>B200436063</t>
  </si>
  <si>
    <t>B200436064</t>
  </si>
  <si>
    <t>B200436065</t>
  </si>
  <si>
    <t>B200436066</t>
  </si>
  <si>
    <t>B200436069</t>
  </si>
  <si>
    <t>B200436070</t>
  </si>
  <si>
    <t>B200436072</t>
  </si>
  <si>
    <t>B200436074</t>
  </si>
  <si>
    <t>B200436075</t>
  </si>
  <si>
    <t>B200436076</t>
  </si>
  <si>
    <t>B200436078</t>
  </si>
  <si>
    <t>B200436079</t>
  </si>
  <si>
    <t>B200436084</t>
  </si>
  <si>
    <t>B200436089</t>
  </si>
  <si>
    <t>B200436090</t>
  </si>
  <si>
    <t>B200436091</t>
  </si>
  <si>
    <t>B200436092</t>
  </si>
  <si>
    <t>B200436093</t>
  </si>
  <si>
    <t>B200436095</t>
  </si>
  <si>
    <t>B200436096</t>
  </si>
  <si>
    <t>B200436106</t>
  </si>
  <si>
    <t>B200436107</t>
  </si>
  <si>
    <t>B200436111</t>
  </si>
  <si>
    <t>B200436118</t>
  </si>
  <si>
    <t>B200436119</t>
  </si>
  <si>
    <t>B200436120</t>
  </si>
  <si>
    <t>B200436125</t>
  </si>
  <si>
    <t>B200436126</t>
  </si>
  <si>
    <t>B200436128</t>
  </si>
  <si>
    <t>B200436135</t>
  </si>
  <si>
    <t>B200436139</t>
  </si>
  <si>
    <t>B200436145</t>
  </si>
  <si>
    <t>B200436149</t>
  </si>
  <si>
    <t>B200436153</t>
  </si>
  <si>
    <t>B200436154</t>
  </si>
  <si>
    <t>B200436156</t>
  </si>
  <si>
    <t>B200436159</t>
  </si>
  <si>
    <t>B200436163</t>
  </si>
  <si>
    <t>B200436164</t>
  </si>
  <si>
    <t>B200436166</t>
  </si>
  <si>
    <t>B200436167</t>
  </si>
  <si>
    <t>B200436168</t>
  </si>
  <si>
    <t>B200436169</t>
  </si>
  <si>
    <t>B200436170</t>
  </si>
  <si>
    <t>B200436171</t>
  </si>
  <si>
    <t>B200436173</t>
  </si>
  <si>
    <t>B200436174</t>
  </si>
  <si>
    <t>B200436176</t>
  </si>
  <si>
    <t>B200436177</t>
  </si>
  <si>
    <t>B200436179</t>
  </si>
  <si>
    <t>B200436180</t>
  </si>
  <si>
    <t>B200436183</t>
  </si>
  <si>
    <t>B200436184</t>
  </si>
  <si>
    <t>B200436187</t>
  </si>
  <si>
    <t>B200436189</t>
  </si>
  <si>
    <t>B200436193</t>
  </si>
  <si>
    <t>B200436196</t>
  </si>
  <si>
    <t>B200436198</t>
  </si>
  <si>
    <t>B200436202</t>
  </si>
  <si>
    <t>B200436203</t>
  </si>
  <si>
    <t>B200436206</t>
  </si>
  <si>
    <t>B200436207</t>
  </si>
  <si>
    <t>B200436210</t>
  </si>
  <si>
    <t>B200436211</t>
  </si>
  <si>
    <t>B200436215</t>
  </si>
  <si>
    <t>B200436217</t>
  </si>
  <si>
    <t>B200436223</t>
  </si>
  <si>
    <t>B200436237</t>
  </si>
  <si>
    <t>B200436242</t>
  </si>
  <si>
    <t>B200436243</t>
  </si>
  <si>
    <t>B200436249</t>
  </si>
  <si>
    <t>B200436250</t>
  </si>
  <si>
    <t>B200436258</t>
  </si>
  <si>
    <t>B200436260</t>
  </si>
  <si>
    <t>B200436262</t>
  </si>
  <si>
    <t>B200436264</t>
  </si>
  <si>
    <t>B200436273</t>
  </si>
  <si>
    <t>B200436282</t>
  </si>
  <si>
    <t>B200436283</t>
  </si>
  <si>
    <t>B200436288</t>
  </si>
  <si>
    <t>B200436289</t>
  </si>
  <si>
    <t>B200436292</t>
  </si>
  <si>
    <t>B200436294</t>
  </si>
  <si>
    <t>B200436297</t>
  </si>
  <si>
    <t>B200436299</t>
  </si>
  <si>
    <t>B200436309</t>
  </si>
  <si>
    <t>B200436312</t>
  </si>
  <si>
    <t>B200436313</t>
  </si>
  <si>
    <t>B200436316</t>
  </si>
  <si>
    <t>B200436318</t>
  </si>
  <si>
    <t>B200436319</t>
  </si>
  <si>
    <t>B200436322</t>
  </si>
  <si>
    <t>B200436323</t>
  </si>
  <si>
    <t>B200436324</t>
  </si>
  <si>
    <t>B200436326</t>
  </si>
  <si>
    <t>B200436328</t>
  </si>
  <si>
    <t>B200436330</t>
  </si>
  <si>
    <t>B200436337</t>
  </si>
  <si>
    <t>B200436338</t>
  </si>
  <si>
    <t>B200436339</t>
  </si>
  <si>
    <t>B200436342</t>
  </si>
  <si>
    <t>B200436346</t>
  </si>
  <si>
    <t>B200436347</t>
  </si>
  <si>
    <t>B200436351</t>
  </si>
  <si>
    <t>B200436366</t>
  </si>
  <si>
    <t>B200436375</t>
  </si>
  <si>
    <t>B200436381</t>
  </si>
  <si>
    <t>B200436382</t>
  </si>
  <si>
    <t>B200436383</t>
  </si>
  <si>
    <t>B200436385</t>
  </si>
  <si>
    <t>B200436388</t>
  </si>
  <si>
    <t>B200436389</t>
  </si>
  <si>
    <t>B200436392</t>
  </si>
  <si>
    <t>B200436396</t>
  </si>
  <si>
    <t>B200436397</t>
  </si>
  <si>
    <t>B200436399</t>
  </si>
  <si>
    <t>B200436406</t>
  </si>
  <si>
    <t>B200436407</t>
  </si>
  <si>
    <t>B200436408</t>
  </si>
  <si>
    <t>B200436409</t>
  </si>
  <si>
    <t>B200436410</t>
  </si>
  <si>
    <t>B200436412</t>
  </si>
  <si>
    <t>B200436420</t>
  </si>
  <si>
    <t>7/29/2025</t>
  </si>
  <si>
    <t>8/16/2025</t>
  </si>
  <si>
    <t>8/7/2025</t>
  </si>
  <si>
    <t>7/31/2025</t>
  </si>
  <si>
    <t>8/13/2025</t>
  </si>
  <si>
    <t>8/18/2025</t>
  </si>
  <si>
    <t>8/12/2025</t>
  </si>
  <si>
    <t>8/20/2025</t>
  </si>
  <si>
    <t>8/4/2025</t>
  </si>
  <si>
    <t>8/3/2025</t>
  </si>
  <si>
    <t>8/21/2025</t>
  </si>
  <si>
    <t>8/1/2025</t>
  </si>
  <si>
    <t>7/30/2025</t>
  </si>
  <si>
    <t>8/6/2025</t>
  </si>
  <si>
    <t>8/29/2025</t>
  </si>
  <si>
    <t>8/5/2025</t>
  </si>
  <si>
    <t>8/11/2025</t>
  </si>
  <si>
    <t>8/27/2025</t>
  </si>
  <si>
    <t>8/19/2025</t>
  </si>
  <si>
    <t>8/15/2025</t>
  </si>
  <si>
    <t>8/2/2025</t>
  </si>
  <si>
    <t>8/28/2025</t>
  </si>
  <si>
    <t>8/8/2025</t>
  </si>
  <si>
    <t>8/14/2025</t>
  </si>
  <si>
    <t>8/25/2025</t>
  </si>
  <si>
    <t>8/22/2025</t>
  </si>
  <si>
    <t>3551 N RETA AVE</t>
  </si>
  <si>
    <t>7558 S HERMITAGE AVE</t>
  </si>
  <si>
    <t>3510 N LEAVITT ST</t>
  </si>
  <si>
    <t>9310 S BISHOP ST</t>
  </si>
  <si>
    <t>1950 W CERMAK RD</t>
  </si>
  <si>
    <t>7318 S ABERDEEN ST</t>
  </si>
  <si>
    <t>320 W ILLINOIS ST</t>
  </si>
  <si>
    <t>7614 S PARNELL AVE</t>
  </si>
  <si>
    <t>8857 S MERRILL AVE</t>
  </si>
  <si>
    <t>10000 W OHARE ST</t>
  </si>
  <si>
    <t>1527 W PRATT BLVD</t>
  </si>
  <si>
    <t>11305 S VINCENNES AVE</t>
  </si>
  <si>
    <t>541 N FAIRBANKS CT</t>
  </si>
  <si>
    <t>7616 S PARNELL AVE</t>
  </si>
  <si>
    <t>2727 S WHIPPLE ST</t>
  </si>
  <si>
    <t>24 E WASHINGTON ST</t>
  </si>
  <si>
    <t>9325 S DAMEN AVE</t>
  </si>
  <si>
    <t>7624 S PARNELL AVE</t>
  </si>
  <si>
    <t>3400 N HALSTED ST</t>
  </si>
  <si>
    <t>3936 N CLAREMONT AVE</t>
  </si>
  <si>
    <t>7626 S PARNELL AVE</t>
  </si>
  <si>
    <t>5208 S LAFLIN ST</t>
  </si>
  <si>
    <t>450 W BRIAR PL</t>
  </si>
  <si>
    <t>616 W 24TH PL</t>
  </si>
  <si>
    <t>4947 N AVERS AVE</t>
  </si>
  <si>
    <t>5037 W CULLOM AVE</t>
  </si>
  <si>
    <t>1731 W ALBION AVE</t>
  </si>
  <si>
    <t>6128 N MASON AVE</t>
  </si>
  <si>
    <t>4013 W ARMITAGE AVE</t>
  </si>
  <si>
    <t>2811 W JACKSON BLVD</t>
  </si>
  <si>
    <t>4322 N MOZART ST</t>
  </si>
  <si>
    <t>4939 S MAPLEWOOD AVE</t>
  </si>
  <si>
    <t>3125 N SPRINGFIELD AVE</t>
  </si>
  <si>
    <t>8042 S NORMAL AVE</t>
  </si>
  <si>
    <t>7335 S STEWART AVE</t>
  </si>
  <si>
    <t>600 N WABASH AVE</t>
  </si>
  <si>
    <t>1426 S FEDERAL ST</t>
  </si>
  <si>
    <t>910 E 40TH ST</t>
  </si>
  <si>
    <t>3351 N TROY ST</t>
  </si>
  <si>
    <t>5852 W WAVELAND AVE</t>
  </si>
  <si>
    <t>1624 W CARMEN AVE</t>
  </si>
  <si>
    <t>233 S WACKER DR</t>
  </si>
  <si>
    <t>3940 W FULLERTON AVE</t>
  </si>
  <si>
    <t>2830 N ALBANY AVE</t>
  </si>
  <si>
    <t>6000 N CICERO AVE</t>
  </si>
  <si>
    <t>2351 W CONGRESS PKWY</t>
  </si>
  <si>
    <t>3314 N LAKE SHORE DR</t>
  </si>
  <si>
    <t>505 W GRANT PL</t>
  </si>
  <si>
    <t>8105 S ADA ST</t>
  </si>
  <si>
    <t>2428 N LONG AVE</t>
  </si>
  <si>
    <t>5129 W ROSCOE ST</t>
  </si>
  <si>
    <t>6032 S MICHIGAN AVE</t>
  </si>
  <si>
    <t>6213 N OZANAM AVE</t>
  </si>
  <si>
    <t>5035 W DIVISION ST</t>
  </si>
  <si>
    <t>7309 N ODELL AVE</t>
  </si>
  <si>
    <t>3945 W 66TH PL</t>
  </si>
  <si>
    <t>1024 W OAKDALE AVE</t>
  </si>
  <si>
    <t>2254 N HAMLIN AVE</t>
  </si>
  <si>
    <t>1226 W GEORGE ST</t>
  </si>
  <si>
    <t>3153 S LOWE AVE</t>
  </si>
  <si>
    <t>6154 N MOODY AVE</t>
  </si>
  <si>
    <t>2029 N NAGLE AVE</t>
  </si>
  <si>
    <t>5477 N MARMORA AVE</t>
  </si>
  <si>
    <t>2653 W COYLE AVE</t>
  </si>
  <si>
    <t>3842 N ALTA VISTA TER</t>
  </si>
  <si>
    <t>6330 N SHERIDAN RD</t>
  </si>
  <si>
    <t>5306 W MONROE ST</t>
  </si>
  <si>
    <t>2701 W LAWRENCE AVE</t>
  </si>
  <si>
    <t>11601 W TOUHY AVE</t>
  </si>
  <si>
    <t>2934 S NORMAL AVE</t>
  </si>
  <si>
    <t>5700 S CICERO AVE</t>
  </si>
  <si>
    <t>838 W ALTGELD ST</t>
  </si>
  <si>
    <t>1110 N NOBLE ST</t>
  </si>
  <si>
    <t>8559 S ROCKWELL ST</t>
  </si>
  <si>
    <t>1806 S JEFFERSON ST</t>
  </si>
  <si>
    <t>8001 S WENTWORTH AVE</t>
  </si>
  <si>
    <t>3508 W WABANSIA AVE</t>
  </si>
  <si>
    <t>5829 S MELVINA AVE</t>
  </si>
  <si>
    <t>6800 S RIDGELAND AVE</t>
  </si>
  <si>
    <t>5247 W ARGYLE ST</t>
  </si>
  <si>
    <t>1841 W CUYLER AVE</t>
  </si>
  <si>
    <t>1456 W AUGUSTA BLVD</t>
  </si>
  <si>
    <t>7948 S LANGLEY AVE</t>
  </si>
  <si>
    <t>11156 S PEORIA ST</t>
  </si>
  <si>
    <t>716 W BARRY AVE</t>
  </si>
  <si>
    <t>3800 N LAKE SHORE DR</t>
  </si>
  <si>
    <t>1345 W MADISON ST</t>
  </si>
  <si>
    <t>4119 N LAWLER AVE</t>
  </si>
  <si>
    <t>6445 N GLENWOOD AVE</t>
  </si>
  <si>
    <t>3443 W 71ST ST</t>
  </si>
  <si>
    <t>401 E WACKER DR</t>
  </si>
  <si>
    <t>5934 W ERIE ST</t>
  </si>
  <si>
    <t>4624 S ELLIS AVE</t>
  </si>
  <si>
    <t>6560 W FULLERTON AVE</t>
  </si>
  <si>
    <t>1352 W 110TH ST</t>
  </si>
  <si>
    <t>120 N LA SALLE ST</t>
  </si>
  <si>
    <t>3424 W WRIGHTWOOD AVE</t>
  </si>
  <si>
    <t>2032 N MILWAUKEE AVE</t>
  </si>
  <si>
    <t>2524 N LAWNDALE AVE</t>
  </si>
  <si>
    <t>817 W 33RD ST</t>
  </si>
  <si>
    <t>7708 S OGLESBY AVE</t>
  </si>
  <si>
    <t>4740 N ROCKWELL ST</t>
  </si>
  <si>
    <t>8623 S HONORE ST</t>
  </si>
  <si>
    <t>2263 N LINCOLN AVE</t>
  </si>
  <si>
    <t>6305 W HUNTINGTON ST</t>
  </si>
  <si>
    <t>7938 S COLFAX AVE</t>
  </si>
  <si>
    <t>7936 S CONSTANCE AVE</t>
  </si>
  <si>
    <t>3716 N PAGE AVE</t>
  </si>
  <si>
    <t>5415 N SHERIDAN RD</t>
  </si>
  <si>
    <t>8815 S LEAVITT ST</t>
  </si>
  <si>
    <t>7448 N OKETO AVE</t>
  </si>
  <si>
    <t>411 W ONTARIO ST</t>
  </si>
  <si>
    <t>3351 N ELSTON AVE</t>
  </si>
  <si>
    <t>5542 W BYRON ST</t>
  </si>
  <si>
    <t>1011 S MONITOR AVE</t>
  </si>
  <si>
    <t>9258 S BISHOP ST</t>
  </si>
  <si>
    <t>3119 N SEMINARY AVE</t>
  </si>
  <si>
    <t>454 W 29TH ST</t>
  </si>
  <si>
    <t>4621 S SAWYER AVE</t>
  </si>
  <si>
    <t>733 W ROSCOE ST</t>
  </si>
  <si>
    <t>4257 N ASHLAND AVE</t>
  </si>
  <si>
    <t>4340 W 47TH ST</t>
  </si>
  <si>
    <t>1125 E HYDE PARK BLVD</t>
  </si>
  <si>
    <t>411 N PAULINA ST</t>
  </si>
  <si>
    <t>2189 W BOWLER ST</t>
  </si>
  <si>
    <t>3716 N MOZART ST</t>
  </si>
  <si>
    <t>3530 N ODELL AVE</t>
  </si>
  <si>
    <t>5740 N SHERIDAN RD</t>
  </si>
  <si>
    <t>3460 N OZARK AVE</t>
  </si>
  <si>
    <t>2456 N ROCKWELL ST</t>
  </si>
  <si>
    <t>1 S WACKER DR</t>
  </si>
  <si>
    <t>6336 N MILWAUKEE AVE</t>
  </si>
  <si>
    <t>4516 N MONTICELLO AVE</t>
  </si>
  <si>
    <t>5212 N LARNED AVE</t>
  </si>
  <si>
    <t>1749 W NEWPORT AVE</t>
  </si>
  <si>
    <t>6518 N GREENVIEW AVE</t>
  </si>
  <si>
    <t>3867 S ARCHER AVE</t>
  </si>
  <si>
    <t>55 E MONROE ST</t>
  </si>
  <si>
    <t>500 W MONROE ST</t>
  </si>
  <si>
    <t>4515 N RAVENSWOOD AVE</t>
  </si>
  <si>
    <t>401 N MICHIGAN AVE</t>
  </si>
  <si>
    <t>113 N GREEN ST</t>
  </si>
  <si>
    <t>400 N ABERDEEN ST</t>
  </si>
  <si>
    <t>155 N WACKER DR</t>
  </si>
  <si>
    <t>600 E GRAND AVE</t>
  </si>
  <si>
    <t>5035 N NEW ENGLAND AVE</t>
  </si>
  <si>
    <t>3143 N SAWYER AVE</t>
  </si>
  <si>
    <t>8456 S ESSEX AVE</t>
  </si>
  <si>
    <t>3334 N MILWAUKEE AVE</t>
  </si>
  <si>
    <t>5001 W HENDERSON ST</t>
  </si>
  <si>
    <t>2575 W LYNDALE ST</t>
  </si>
  <si>
    <t>1900 N CENTRAL AVE OP</t>
  </si>
  <si>
    <t>2927 N LOTUS AVE</t>
  </si>
  <si>
    <t>3716 N NORDICA AVE</t>
  </si>
  <si>
    <t>5433 S EAST VIEW PARK</t>
  </si>
  <si>
    <t>5309 S BISHOP ST</t>
  </si>
  <si>
    <t>2420 W BERTEAU AVE</t>
  </si>
  <si>
    <t>5752 S NOTTINGHAM AVE</t>
  </si>
  <si>
    <t>3340 N KEDVALE AVE</t>
  </si>
  <si>
    <t>6001 N CLARK ST</t>
  </si>
  <si>
    <t>2140 N BISSELL ST</t>
  </si>
  <si>
    <t>4540 N SEELEY AVE</t>
  </si>
  <si>
    <t>9900 S THROOP ST</t>
  </si>
  <si>
    <t>725 S WELLS ST</t>
  </si>
  <si>
    <t>7501 S PEORIA ST</t>
  </si>
  <si>
    <t>5651 N NEVA AVE</t>
  </si>
  <si>
    <t>654 E BOWEN AVE</t>
  </si>
  <si>
    <t>168 N STATE ST</t>
  </si>
  <si>
    <t>4904 S LEAMINGTON AVE</t>
  </si>
  <si>
    <t>2815 W SHERWIN AVE</t>
  </si>
  <si>
    <t>6200 S MONITOR AVE</t>
  </si>
  <si>
    <t>4346 W CRYSTAL ST</t>
  </si>
  <si>
    <t>6839 N DOWAGIAC AVE</t>
  </si>
  <si>
    <t>4930 S CORNELL AVE</t>
  </si>
  <si>
    <t>1728 W 90TH PL</t>
  </si>
  <si>
    <t>8158 S SACRAMENTO AVE</t>
  </si>
  <si>
    <t>CHICAGO, IL</t>
  </si>
  <si>
    <t>TALKINGTON TROY</t>
  </si>
  <si>
    <t>MATHEWS CHRISTOPHER</t>
  </si>
  <si>
    <t>MORENO PAULA</t>
  </si>
  <si>
    <t>RICHARDSON EDWARD</t>
  </si>
  <si>
    <t>NOVICK ROBERT</t>
  </si>
  <si>
    <t>WAITS NICOYA</t>
  </si>
  <si>
    <t>RIVER NORTH PARK APT  C/O PEAK PROPERTIES</t>
  </si>
  <si>
    <t>ONE FAMILY ILLINOIS</t>
  </si>
  <si>
    <t>IGNAT SORIN</t>
  </si>
  <si>
    <t>CARIE CARNEY CITY OF CHICAGO DEPT. OF AVIATION</t>
  </si>
  <si>
    <t>MICHAEL ALICE</t>
  </si>
  <si>
    <t>DANIELS SHAMIA</t>
  </si>
  <si>
    <t>NORTHWESTERN MEMORIAL HOSPITAL</t>
  </si>
  <si>
    <t>MONTANO JOSE</t>
  </si>
  <si>
    <t>BSREP II SS CHICAGO, LLC</t>
  </si>
  <si>
    <t>WILSON BRIAN</t>
  </si>
  <si>
    <t>CHICAGO SPECIAL EVENTS</t>
  </si>
  <si>
    <t>HAHM DANIEL</t>
  </si>
  <si>
    <t>THOMPSON LAPARIS</t>
  </si>
  <si>
    <t>TOSTO JOSEPH</t>
  </si>
  <si>
    <t>JCDECAUX CHICAGO COMMUNICATION NETWORK, LLC*</t>
  </si>
  <si>
    <t>CARLOS QUIZHPI</t>
  </si>
  <si>
    <t>KOCZWARA RICHARD</t>
  </si>
  <si>
    <t>PILLAI PADAJA</t>
  </si>
  <si>
    <t>LOVELL BRAD</t>
  </si>
  <si>
    <t>CHON ANTHONY</t>
  </si>
  <si>
    <t>EVANS SHANTE</t>
  </si>
  <si>
    <t>SABIN NETTIE</t>
  </si>
  <si>
    <t>VARGAS DIANA</t>
  </si>
  <si>
    <t>HINES CRAIG</t>
  </si>
  <si>
    <t>ARNOLD JOHN</t>
  </si>
  <si>
    <t>CRANSHAW KENNETH</t>
  </si>
  <si>
    <t>ONE OFF HOSPITALITY GROUP</t>
  </si>
  <si>
    <t>BURGAN CAROL</t>
  </si>
  <si>
    <t>AJAYI OLUSESAN</t>
  </si>
  <si>
    <t>BARGMANN ANDREW</t>
  </si>
  <si>
    <t>SKAGGS JON</t>
  </si>
  <si>
    <t>DONNELLY BRENDAN</t>
  </si>
  <si>
    <t>BLACKSTONE, INC</t>
  </si>
  <si>
    <t>PHARMACY, INC. CVS</t>
  </si>
  <si>
    <t>MORENO CATALINA</t>
  </si>
  <si>
    <t>FIRST COMMUNITY MANAGEMENT</t>
  </si>
  <si>
    <t>DRAGOMIR ADRIAN</t>
  </si>
  <si>
    <t>3314 N. LAKE SHORE DRIVE CONDOMINIUM ASSOCIATION</t>
  </si>
  <si>
    <t>SHIELS SEAN</t>
  </si>
  <si>
    <t>GARRISON ROSEMARY</t>
  </si>
  <si>
    <t>HILO INC</t>
  </si>
  <si>
    <t>CAMARGO EDUARDO</t>
  </si>
  <si>
    <t>GRAY RYAN</t>
  </si>
  <si>
    <t>OSHEA KRISTIN</t>
  </si>
  <si>
    <t>GINOOB INC</t>
  </si>
  <si>
    <t>SOBO ALEXANDRA</t>
  </si>
  <si>
    <t>MARTINEZ RAUL</t>
  </si>
  <si>
    <t>ALLSHOUSE AMANDA</t>
  </si>
  <si>
    <t>PERALTA ELIAZIN</t>
  </si>
  <si>
    <t>YAO ANDREA</t>
  </si>
  <si>
    <t>LIANG HONG</t>
  </si>
  <si>
    <t>MAHERS JOHN</t>
  </si>
  <si>
    <t>FOOTE BENJAMIN</t>
  </si>
  <si>
    <t>FLORES FENCE INC</t>
  </si>
  <si>
    <t>MULA FRANK</t>
  </si>
  <si>
    <t>MAGDAN CONSTRUCTION INC</t>
  </si>
  <si>
    <t>WASHTENAW PARK CONDOMINIUM ASSOCIATION</t>
  </si>
  <si>
    <t>HUDSON NEWS</t>
  </si>
  <si>
    <t>CHEN JINXIA</t>
  </si>
  <si>
    <t>KAPLAN GARY</t>
  </si>
  <si>
    <t>THE NIGHT MINISTRY</t>
  </si>
  <si>
    <t>DIXON CANDACE</t>
  </si>
  <si>
    <t>CUI ZHOU</t>
  </si>
  <si>
    <t>GALLARDO CORTES MARIO</t>
  </si>
  <si>
    <t>CHAIDEZ JESUS &amp; LESLIE</t>
  </si>
  <si>
    <t>DOMINGUEZ DANTE</t>
  </si>
  <si>
    <t>ALLYSON SMITH</t>
  </si>
  <si>
    <t>OCCEASSA ANGELA</t>
  </si>
  <si>
    <t>LOVE FROM FELICITY</t>
  </si>
  <si>
    <t>OKON THOMAS</t>
  </si>
  <si>
    <t>ZIAJA MIRO</t>
  </si>
  <si>
    <t>STOKES CRYSTAL</t>
  </si>
  <si>
    <t>WHITE WESLEY</t>
  </si>
  <si>
    <t>WRIGHT ARIANA &amp; TOMMY</t>
  </si>
  <si>
    <t>3800 LAKE SHORE DRIVE CONDO ASS</t>
  </si>
  <si>
    <t>CITY OF CHICAGO - DEPARTMENT OF FLEET AND FACILITY</t>
  </si>
  <si>
    <t>BROHLIN GEORGE</t>
  </si>
  <si>
    <t>FRAZER JAKE</t>
  </si>
  <si>
    <t>DAVID GARCIA</t>
  </si>
  <si>
    <t>LATTE LLC</t>
  </si>
  <si>
    <t>WILLIAMS JERMARCO</t>
  </si>
  <si>
    <t>POKORNY MICHAEL</t>
  </si>
  <si>
    <t>SKX ILLINOIS, LLC DBA SKECHERS USA, INC.</t>
  </si>
  <si>
    <t>JOHNEQUEA JACOBS</t>
  </si>
  <si>
    <t>LINCOLN PROPERTY COMPANY</t>
  </si>
  <si>
    <t>KAPITAL ELECTRIC CO., INC</t>
  </si>
  <si>
    <t>NORTHWESTERN MEDICAL FACULTY FOUNDATION DIALYSIS</t>
  </si>
  <si>
    <t>VILLAGE DISCOUNT OUTLET</t>
  </si>
  <si>
    <t>ROESMANN JEFFREY</t>
  </si>
  <si>
    <t>JANAVICIUS JEAN</t>
  </si>
  <si>
    <t>WILLIAMS ALBERT</t>
  </si>
  <si>
    <t>KENSIK MARY</t>
  </si>
  <si>
    <t>MCABEE JR ROBERT</t>
  </si>
  <si>
    <t>DAHBOUR AMER</t>
  </si>
  <si>
    <t>HANGE WILHELM</t>
  </si>
  <si>
    <t>HUTCHINSON SAMANTHA</t>
  </si>
  <si>
    <t>KING KECIA</t>
  </si>
  <si>
    <t>BAZIV VOLODYMYR</t>
  </si>
  <si>
    <t>PATEL KANHI</t>
  </si>
  <si>
    <t>HEATH BARBARA</t>
  </si>
  <si>
    <t>SPENCER NICK</t>
  </si>
  <si>
    <t>ONTARIO STREET LOFTS CONDO ASSOCIATION</t>
  </si>
  <si>
    <t>BLSD 3351 LLC</t>
  </si>
  <si>
    <t>TORRES YATANA</t>
  </si>
  <si>
    <t>MENDOZA ADELFO</t>
  </si>
  <si>
    <t>HILL KEISHEE</t>
  </si>
  <si>
    <t>OGUZ GUNAYDIN</t>
  </si>
  <si>
    <t>HUANG DAVID</t>
  </si>
  <si>
    <t>NGAN SHIUWAH</t>
  </si>
  <si>
    <t>HARRIS BRANDI</t>
  </si>
  <si>
    <t>CHICUEN MARIA</t>
  </si>
  <si>
    <t>CHICAGO ORNAMENTAL IRON , INC</t>
  </si>
  <si>
    <t>PRESIDENTIAL COURT TOWNHOMES</t>
  </si>
  <si>
    <t>RD2 &amp; SD2 LLC</t>
  </si>
  <si>
    <t>CHICAGO HOPE ACADEMY</t>
  </si>
  <si>
    <t>BRZESKI ANDRZEJ</t>
  </si>
  <si>
    <t>SHERIDAN SHORES CONDOMINIUM ASSOCIATION</t>
  </si>
  <si>
    <t>WIBERG WAYNE</t>
  </si>
  <si>
    <t>WAGNER JOHN</t>
  </si>
  <si>
    <t>AMERICAN EXPRESS</t>
  </si>
  <si>
    <t>WINTRUST BANK, N.A.</t>
  </si>
  <si>
    <t>MICELI PATRICK</t>
  </si>
  <si>
    <t>SATO ROBYN</t>
  </si>
  <si>
    <t>JUERGENS ROBERT</t>
  </si>
  <si>
    <t>GARCIA ARGELIA</t>
  </si>
  <si>
    <t>MCDONALD'S USA LLC</t>
  </si>
  <si>
    <t>. PR 55 EAST MONROE LLC</t>
  </si>
  <si>
    <t>STARR COMPANIES CHICAGO</t>
  </si>
  <si>
    <t>ALLEN DON</t>
  </si>
  <si>
    <t>ZELLER MANAGEMENT CORP</t>
  </si>
  <si>
    <t>SOHO HOUSE CHICAGO LLC</t>
  </si>
  <si>
    <t>COMPANY TRAMMELL CROW</t>
  </si>
  <si>
    <t>ERNST &amp; YOUNG LLP</t>
  </si>
  <si>
    <t>NAVY PIER, INC.</t>
  </si>
  <si>
    <t>SKROKO JOE</t>
  </si>
  <si>
    <t>PREDOLYAK ALINA</t>
  </si>
  <si>
    <t>CLARKSHENAURLT DENEEN</t>
  </si>
  <si>
    <t>GT INDUSTRIES INC*</t>
  </si>
  <si>
    <t>GUERRERO ANGELICA</t>
  </si>
  <si>
    <t>THE HABITAT COMPANY LLC</t>
  </si>
  <si>
    <t>AMPOL GROUP INTERNATIONAL, INC</t>
  </si>
  <si>
    <t>CHRISTIE HEATHER</t>
  </si>
  <si>
    <t>GRIFF JESSICA</t>
  </si>
  <si>
    <t>CONDOMINIUM  ASSOCIATION EAST VIEW PARK</t>
  </si>
  <si>
    <t>ATAP INVESTMENT CORPORATION</t>
  </si>
  <si>
    <t>CASTO NICK</t>
  </si>
  <si>
    <t>CRUZ SANDRA</t>
  </si>
  <si>
    <t>GARCIA GUADALUPE</t>
  </si>
  <si>
    <t>RAYITO DE SOL - EDGEWATER, LLC</t>
  </si>
  <si>
    <t>MCGRATH TOM</t>
  </si>
  <si>
    <t>HARDY JAMES</t>
  </si>
  <si>
    <t>GREGORY LISA</t>
  </si>
  <si>
    <t>FIFTEENFORTYSEVEN CRITICAL SYSTEMS REALTY</t>
  </si>
  <si>
    <t>JONES ERIC</t>
  </si>
  <si>
    <t>GOOSINOW JOSEPH</t>
  </si>
  <si>
    <t>BUILDING BETTER COMMUNITIES</t>
  </si>
  <si>
    <t>PANERA, LLC</t>
  </si>
  <si>
    <t>FLORES MICHAEL</t>
  </si>
  <si>
    <t>ETZMAN DAVID</t>
  </si>
  <si>
    <t>SCHMIDT MICHAEL</t>
  </si>
  <si>
    <t>MERCAITIS CHRISTOPHER</t>
  </si>
  <si>
    <t>CHWALA JOSHEPH</t>
  </si>
  <si>
    <t>CEPEK THOMAS</t>
  </si>
  <si>
    <t>FLORELL NATHAN</t>
  </si>
  <si>
    <t>HARMON LUTHER</t>
  </si>
  <si>
    <t>REPAIR (26% TO 50%) FOR WOOD PORCH (OPEN) (QUANTITY: 1, LOCATION: REAR OF BUILDING).</t>
  </si>
  <si>
    <t>LINE VOLTAGE ELECTRICAL WORK. NEW PERMANENT 100 AMP SERVICE DISCONNECTING MEANS WITH 20 CIRCUITS. RECEPTACLE OUTLETS: 1 . LIGHTING OUTLETS: 0. SPECIFIC LOCATION: BASEMENT AND OUTSIDE.</t>
  </si>
  <si>
    <t>SCOPE: NONSTRUCTURAL INTERIOR BATHROOM REMODEL. LOCATIONS: 1 RESIDENTIAL UNIT(S), 0 NON-RESIDENTIAL UNIT(S), SECOND FLOOR.</t>
  </si>
  <si>
    <t>LINE VOLTAGE ELECTRICAL WORK. NEW PERMANENT 200 AMP SERVICE DISCONNECTING MEANS WITH 25 CIRCUITS. RECEPTACLE OUTLETS: 18 . LIGHTING OUTLETS: 14. SPECIFIC LOCATION: ENTIRE BUILDING.</t>
  </si>
  <si>
    <t>TUCKPOINTING AND UNIT MASONRY REPAIR / REPLACEMENT: 1000 SQ. FT., LINTEL QTY. 0, MAX. LENGTH 0. LOCATION: TUCKPOINTING ,POWER WASH, CAULK.</t>
  </si>
  <si>
    <t>IN-KIND REPLACEMENT OF EXTERIOR WINDOWS AND DOORS IN EXISTING OPENINGS. REPLACEMENT WINDOWS: 18; REPLACEMENT SKYLIGHTS: 0; REPLACEMENT DOORS: 3. AFFECTS: 1 RESIDENTIAL UNIT(S), 0 NON-RESIDENTIAL UNIT(S), 2 INTERIOR COMMON AREAS, LOCATION: BASEMANT, FIRST FLOOR.</t>
  </si>
  <si>
    <t>TUCKPOINTING AND UNIT MASONRY REPAIR / REPLACEMENT: 80 SQ. FT., LINTEL QTY. 0, MAX. LENGTH 0. LOCATION: TUCKPOINT &amp; CAULKING STOREFRONT LEAKS.</t>
  </si>
  <si>
    <t>LINE VOLTAGE ELECTRICAL WORK. INSTALL PERMANENT-NOT REQUIRED BY CODE 22 KW FUEL GAS GENERATOR. RECEPTACLE OUTLETS: 0 . LIGHTING OUTLETS: 0. SPECIFIC LOCATION: OUTSIDE AREA NORTHSIDE OF HOME.</t>
  </si>
  <si>
    <t>LINE VOLTAGE ELECTRICAL WORK. NEW PERMANENT 100 AMP SERVICE DISCONNECTING MEANS WITH 1 CIRCUITS. RECEPTACLE OUTLETS: 1 . LIGHTING OUTLETS: 1. SPECIFIC LOCATION: BASEMENT EXTERIOR.</t>
  </si>
  <si>
    <t>LINE VOLTAGE ELECTRICAL WORK. OUTDOOR LIGHTING FOR 50000 SQUARE FEET. RECEPTACLE OUTLETS: 0 . LIGHTING OUTLETS: 6. SPECIFIC LOCATION: ORD PARKING LOT B.</t>
  </si>
  <si>
    <t>TUCKPOINTING AND UNIT MASONRY REPAIR / REPLACEMENT: 400 SQ. FT., LINTEL QTY. 0, MAX. LENGTH 0. LOCATION: GARAGE MASONRY REPAIRS.</t>
  </si>
  <si>
    <t>SCOPE: ROOF RECOVER. AREA: 1536 SQ. FT. ROOF COVERING: ASPHALT SHINGLES. LOCATION: EXTERIOR OF RESIDENTIAL PROPERTY. IL ROOFING CONTRACTOR LICENSE: 104018629.</t>
  </si>
  <si>
    <t>LOW VOLTAGE/COMMUNICATION ELECTRICAL WORK. INSTALL DATA/VIDEO. SPECIFIC LOCATION: 25TH FLOOR.</t>
  </si>
  <si>
    <t>LINE VOLTAGE ELECTRICAL WORK. INSTALL PERMANENT-NOT REQUIRED BY CODE 22 KW FUEL GAS GENERATOR. RECEPTACLE OUTLETS: 0 . LIGHTING OUTLETS: 0. SPECIFIC LOCATION: OUTSIDE SOUTH OF HOME.</t>
  </si>
  <si>
    <t>INSTALL SOLAR PANELS ON ROOF OF ACCESSORY BUILDING. ROOF TYPE: SLOPED (2:12 TO 5:12). INVERTER OUTPUT: 7.6 KW. ARRAY OUTPUT: 3.2 KW.  LOCATION: GARAGE ROOFTOP. ICC DISTRIBUTED GENERATION INSTALLER CERT. #18-1231. | SPECIAL CONDITION: * NEC REFERENCES TO BE OMITTED FROM DRAWINGS, ALL GENERAL ELECTRICAL NOTES SHALL REFERENCE CEC 2018. * REFER TO ELECTRICAL PERMIT B200425492.* ALL EQUIPMENT, CONNECTORS, RACEWAYS, TAPS, MUST BE LISTED AND LABELED FOR USE.</t>
  </si>
  <si>
    <t>REPAIR OR IN-KIND REPLACEMENT OF 0 PLUMBING FIXTURES AS DESCRIBED IN PERMIT APPLICATION.  INCLUDES REPAIR OR REPLACMENT OF PLUMBING PIPING.  INCLUDES REPAIR OR REPLACEMENT OF PLUMBING RISERS IN EXISTING CHASES.  LOCATIONS: 0 RESIDENTIAL UNIT(S), 1 NON-RESIDENTIAL UNIT(S),  EXTERIOR WORK, 14TH FLOOR ROOF TOP. | SPECIAL CONDITION: NO EXTERIOR WORK TO OCCUR WITH THIS APPROVAL.</t>
  </si>
  <si>
    <t>PURPOSE: NEW/REPLACEMENT INSTALLATION. WROUGHT IRON FENCE - 6'-0' ' (HEIGHT) X 312'-0' ' (LENGTH). LOCATION: ENCLOSING THE BACKYARD.</t>
  </si>
  <si>
    <t>LINE VOLTAGE ELECTRICAL WORK. INSTALL PERMANENT-NOT REQUIRED BY CODE 22 KW FUEL GAS GENERATOR. RECEPTACLE OUTLETS: 0 . LIGHTING OUTLETS: 0. SPECIFIC LOCATION: OUSIDE NORTH SIDE OF DWELLING.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</si>
  <si>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</t>
  </si>
  <si>
    <t>NEW DETACHED WOOD FRAME GARAGE. DIMENSIONS AND SETBACKS PER APPLICATION. BUILDING OUTSIDE DIMENSIONS: 22'-0' ' X24'-0' '. GABLE ROOF HEIGHT TO PEAK: 15'-0' '.</t>
  </si>
  <si>
    <t>LINE VOLTAGE ELECTRICAL WORK. INSTALL PERMANENT-NOT REQUIRED BY CODE 22 KW FUEL GAS GENERATOR. RECEPTACLE OUTLETS: 0 . LIGHTING OUTLETS: 0. SPECIFIC LOCATION: OUTDOOR NORTH WALL.</t>
  </si>
  <si>
    <t>ADA BATHROOM MODIFICATIONS. REMOVE TUB AND INSTALL SHOWER WITH ASSOCIATED FIXTURES AND TILE WORK.</t>
  </si>
  <si>
    <t>LINE VOLTAGE ELECTRICAL WORK. NEW PERMANENT 100 AMP SERVICE DISCONNECTING MEANS WITH 10 CIRCUITS. RECEPTACLE OUTLETS: 1 . LIGHTING OUTLETS: 0. SPECIFIC LOCATION: UNIT 13E.</t>
  </si>
  <si>
    <t>LINE VOLTAGE ELECTRICAL WORK. REPAIR OR ALTER DEVICES ON EXISTING CIRCUITS. RECEPTACLE OUTLETS: 1 . LIGHTING OUTLETS: 1. SPECIFIC LOCATION: TOP OF THE BUILDING.</t>
  </si>
  <si>
    <t>NEW DETACHED WOOD FRAME GARAGE. DIMENSIONS AND SETBACKS PER APPLICATION. BUILDING OUTSIDE DIMENSIONS: 20'-0' ' X20'-0' '. HIP ROOF HEIGHT TO PEAK: 13'-0' '.</t>
  </si>
  <si>
    <t>PURPOSE: NEW/REPLACEMENT INSTALLATION. WOOD FENCE - 6'-0' ' (HEIGHT) X 41'-0' ' (LENGTH). LOCATION: WEST SIDE TOWARDS THE REAR OF THE PROPERTY.</t>
  </si>
  <si>
    <t>TUCKPOINTING AND UNIT MASONRY REPAIR / REPLACEMENT: 1200 SQ. FT., LINTEL QTY. 0, MAX. LENGTH 0. LOCATION: TUCKPOINTING ALL SIDESNEEDED AND CAPPING 1ST WINDO.</t>
  </si>
  <si>
    <t>PURPOSE: NEW/REPLACEMENT INSTALLATION. VINYL/PVC FENCE - 6'-0' ' (HEIGHT) X 34'-0' ' (LENGTH). LOCATION: REAR WESTERN SIDE OF THE PROPERTY.</t>
  </si>
  <si>
    <t>LINE VOLTAGE ELECTRICAL WORK. NEW PERMANENT 100 AMP SERVICE DISCONNECTING MEANS WITH 1 CIRCUITS. RECEPTACLE OUTLETS: 0 . LIGHTING OUTLETS: 1. SPECIFIC LOCATION: STORE FRONT.</t>
  </si>
  <si>
    <t>NEW DETACHED WOOD FRAME GARAGE. DIMENSIONS AND SETBACKS PER APPLICATION. BUILDING OUTSIDE DIMENSIONS: 24'-0' ' X20'-0' '. HIP ROOF HEIGHT TO PEAK: 14'-0' '.</t>
  </si>
  <si>
    <t>LINE VOLTAGE ELECTRICAL WORK. ADD 1 CIRCUITS TO EXISTING 100 AMP SERVICE DISCONNECTING MEANS. RECEPTACLE OUTLETS: 1 . LIGHTING OUTLETS: 0. ELECTRIC VEHICLE SUPPLY EQUIPMENT:1 SPACES. SPECIFIC LOCATION: GARAGE.</t>
  </si>
  <si>
    <t>PURPOSE: NEW/REPLACEMENT INSTALLATION. VINYL/PVC FENCE - 6'-0' ' (HEIGHT) X 72'-0' ' (LENGTH). LOCATION: BACKYARD WESTERN SIDE OF THE PROPERTY..</t>
  </si>
  <si>
    <t>LINE VOLTAGE ELECTRICAL WORK. NEW PERMANENT 200 AMP SERVICE DISCONNECTING MEANS WITH 2 CIRCUITS. RECEPTACLE OUTLETS: 1 . LIGHTING OUTLETS: 1. SPECIFIC LOCATION: BASEMENT.</t>
  </si>
  <si>
    <t>LINE VOLTAGE ELECTRICAL WORK. NEW PERMANENT 200 AMP SERVICE DISCONNECTING MEANS WITH 40 CIRCUITS. RECEPTACLE OUTLETS: 1 . LIGHTING OUTLETS: 1. SPECIFIC LOCATION: BASEMENT.</t>
  </si>
  <si>
    <t>LINE VOLTAGE ELECTRICAL WORK. NEW PERMANENT 100 AMP SERVICE DISCONNECTING MEANS WITH 1 CIRCUITS. RECEPTACLE OUTLETS: 1 . LIGHTING OUTLETS: 0. 13.5 KWH LITHIUM ION ENERGY STORAGE SYSTEM. SPECIFIC LOCATION: BATTERIES ON EXTERIOR WALL.</t>
  </si>
  <si>
    <t>LINE VOLTAGE ELECTRICAL WORK. REPAIR OR ALTER DEVICES ON EXISTING CIRCUITS. RECEPTACLE OUTLETS: 1 . LIGHTING OUTLETS: 7. SPECIFIC LOCATION: VIP ROOM THIRD FLOOR. | SPECIAL CONDITION: NO OTHER WORK.</t>
  </si>
  <si>
    <t>REPAIR OR IN-KIND REPLACEMENT OF 7 PLUMBING FIXTURES AS DESCRIBED IN PERMIT APPLICATION.  INCLUDES REPAIR OR REPLACMENT OF PLUMBING PIPING.  INCLUDES REPAIR OR REPLACEMENT OF PLUMBING RISERS IN EXISTING CHASES.  LOCATIONS: 1 RESIDENTIAL UNIT(S), 0 NON-RESIDENTIAL UNIT(S), UPSTAIRS BATHROOM.</t>
  </si>
  <si>
    <t>INSTALL SOLAR PANELS ON ROOF OF PRINCIPAL BUILDING. ROOF TYPE: SLOPED (2:12 TO 5:12). INVERTER OUTPUT: 5 KW. ARRAY OUTPUT: 5.85 KW.  LOCATION: ROOFTOP.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</si>
  <si>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LIMITED REPAIR (25% OR LESS) FOR WOOD PORCH (OPEN) (QUANTITY: 1, LOCATION: FRONT OF BUILDING). LIMITED REPAIR (25% OR LESS) FOR WOOD PORCH (OPEN) (QUANTITY: 1, LOCATION: REAR OF BUILDING).</t>
  </si>
  <si>
    <t>NEW DETACHED WOOD FRAME GARAGE. DIMENSIONS AND SETBACKS PER APPLICATION. BUILDING OUTSIDE DIMENSIONS: 28'-0' ' X22'-0' '. GABLE ROOF HEIGHT TO PEAK: 15'-0' '.</t>
  </si>
  <si>
    <t>PARAPET REBUILDING: 286 SQ. FT. LOCATION: LEFT AND RIGHT ELEVATION.</t>
  </si>
  <si>
    <t>LOW VOLTAGE/COMMUNICATION ELECTRICAL WORK. ALTER EXISTING DATA/VIDEO. SPECIFIC LOCATION: L-010.</t>
  </si>
  <si>
    <t>REPAIR/REPLACEMENT AFFECTING 1 SYSTEMS :   1 COMMERCIAL/INDUSTRIAL REFRIGERATION(TRENTON, TEZA030H8-HT3D, WALK-IN COOLER) . ELECTRICAL WORK UNDER THIS PERMIT = NO . LOCATIONS: 0 RESIDENTIAL UNIT(S), 1 NON-RESIDENTIAL UNIT(S), EXTERIOR WORK,  WALK-IN COOLER. | SPECIAL CONDITION: CONTACT REFRIGERATION SUPERVISOR CLEMENT GAVIN 312-743-3562, PRIOR TO THE INSTALLATION OF ANY ROOFTOP EQUIPMENT, TO SCHEDULE AN INSPECTION.</t>
  </si>
  <si>
    <t>NEW DETACHED WOOD FRAME GARAGE. DIMENSIONS AND SETBACKS PER APPLICATION. BUILDING OUTSIDE DIMENSIONS: 21'-0' ' X18'-0' '. HIP ROOF HEIGHT TO PEAK: 12'-0' '.</t>
  </si>
  <si>
    <t>TUCKPOINTING AND UNIT MASONRY REPAIR / REPLACEMENT: 800 SQ. FT., LINTEL QTY. 0, MAX. LENGTH 0. PARAPET REBUILDING: 550 SQ. FT. LOCATION: ACROSS ALL EXTERIOR ELEVATIONS.</t>
  </si>
  <si>
    <t>SCOPE: ROOF REPAIR. AREA: 40 SQ. FT. ROOF COVERING: ASPHALT SHINGLES. LOCATION: ROOF OF BUILDING. IL ROOFING CONTRACTOR LICENSE: 104138380.</t>
  </si>
  <si>
    <t>TUCKPOINTING AND UNIT MASONRY REPAIR / REPLACEMENT: 300 SQ. FT., LINTEL QTY. 0, MAX. LENGTH 0. LOCATION: EAST BUILDING ELEVATION.</t>
  </si>
  <si>
    <t>TUCKPOINTING AND UNIT MASONRY REPAIR / REPLACEMENT: 280 SQ. FT., LINTEL QTY. 0, MAX. LENGTH 0. LOCATION: BACK WALL OF HOME AND CHIMNEY. | SPECIAL CONDITION: AS PROPOSED, MASONRY WORK IS LIMITED TO REAR ELEVATION AND CHIMNEY ONLY. NO WORK TO FRONT ELEVATION WITH THIS APPROVAL.</t>
  </si>
  <si>
    <t>INSTALL SOLAR PANELS ON ROOF OF PRINCIPAL BUILDING. ROOF TYPE: SLOPED (2:12 TO 5:12). INVERTER OUTPUT: 10 KW. ARRAY OUTPUT: 11.07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B200435994.* ALL EQUIPMENT, CONNECTORS, RACEWAYS, TAPS, MUST BE LISTED AND LABELED FOR USE.</t>
  </si>
  <si>
    <t>LINE VOLTAGE ELECTRICAL WORK. NEW PERMANENT 125 AMP SERVICE DISCONNECTING MEANS WITH 1 CIRCUITS. RECEPTACLE OUTLETS: 1 . LIGHTING OUTLETS: 0. 13.5 KWH LITHIUM ION ENERGY STORAGE SYSTEM. SPECIFIC LOCATION: EXTERIOR WALL.</t>
  </si>
  <si>
    <t>LINE VOLTAGE ELECTRICAL WORK. NEW PERMANENT 200 AMP SERVICE DISCONNECTING MEANS WITH 34 CIRCUITS. RECEPTACLE OUTLETS: 1 . LIGHTING OUTLETS: 1. SPECIFIC LOCATION: BASEMENT, OUTSIDE.</t>
  </si>
  <si>
    <t>INSTALL SOLAR PANELS ON ROOF OF PRINCIPAL BUILDING. ROOF TYPE: STEEP (&gt;5:12). INVERTER OUTPUT: 10 KW. ARRAY OUTPUT: 7.38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B200435999.* ALL EQUIPMENT, CONNECTORS, RACEWAYS, TAPS, ETC... MUST BE LISTED AND LABELED FOR USE.</t>
  </si>
  <si>
    <t>LINE VOLTAGE ELECTRICAL WORK. NEW PERMANENT 200 AMP SERVICE DISCONNECTING MEANS WITH 1 CIRCUITS. RECEPTACLE OUTLETS: 1 . LIGHTING OUTLETS: 0. 13.5 KWH LITHIUM ION ENERGY STORAGE SYSTEM. SPECIFIC LOCATION: EXTERIOR WALL.</t>
  </si>
  <si>
    <t>LINE VOLTAGE ELECTRICAL WORK. NEW PERMANENT 100 AMP SERVICE DISCONNECTING MEANS WITH 15 CIRCUITS. RECEPTACLE OUTLETS: 1 . LIGHTING OUTLETS: 0. SPECIFIC LOCATION: 1ST FLOOR.</t>
  </si>
  <si>
    <t>INSTALL SOLAR PANELS ON ROOF OF PRINCIPAL BUILDING. ROOF TYPE: SLOPED (2:12 TO 5:12). INVERTER OUTPUT: 11.5 KW. ARRAY OUTPUT: 17.22 KW.   INCLUDES 13.5 KWH ENERGY STORAGE SYSTEM.  LOCATION: ROOF PLANES OF HOME.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</si>
  <si>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PURPOSE: LEGALIZE UNPERMITTED WORK. WOOD FENCE - 6'-0' ' (HEIGHT) X 250'-0' ' (LENGTH). LOCATION: WEST SIDE OF LOT.</t>
  </si>
  <si>
    <t>INSTALL SOLAR PANELS ON ROOF OF PRINCIPAL BUILDING. ROOF TYPE: STEEP (&gt;5:12). INVERTER OUTPUT: 11.5 KW. ARRAY OUTPUT: 4.1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B200435673.* ALL EQUIPMENT, CONNECTORS, RACEWAYS, TAPS, ETC... MUST BE LISTED AND LABELED FOR USE.</t>
  </si>
  <si>
    <t>SCOPE: ROOF RECOVER. AREA: 500 SQ. FT. ROOF COVERING: ASPHALT SHINGLES. LOCATION: ROOF OF HOME. IL ROOFING CONTRACTOR LICENSE: 104002787.</t>
  </si>
  <si>
    <t>SCOPE: ROOF REPLACEMENT. AREA: 1000 SQ. FT. ROOF COVERING: OTHER. LOCATION: 1000 SQUARE FOOT SECTION OF ROOF. IL ROOFING CONTRACTOR LICENSE: 104018370.</t>
  </si>
  <si>
    <t>TUCKPOINTING AND UNIT MASONRY REPAIR / REPLACEMENT: 200 SQ. FT., LINTEL QTY. 0, MAX. LENGTH 0. LOCATION: FRONT AND SIDE EXTERIOR WALLS.</t>
  </si>
  <si>
    <t>LINE VOLTAGE ELECTRICAL WORK. REPAIR OR ALTER DEVICES ON EXISTING CIRCUITS. RECEPTACLE OUTLETS: 2 . LIGHTING OUTLETS: 2. SPECIFIC LOCATION: BATHROOM UPGRADE.</t>
  </si>
  <si>
    <t>TUCKPOINTING AND UNIT MASONRY REPAIR / REPLACEMENT: 540 SQ. FT., LINTEL QTY. 3, MAX. LENGTH 5. LOCATION: FACADE.</t>
  </si>
  <si>
    <t>SCOPE: ROOF REPLACEMENT. AREA: 200 SQ. FT. ROOF COVERING: OTHER. LOCATION: FLAT ROOF. IL ROOFING CONTRACTOR LICENSE: 104019361.</t>
  </si>
  <si>
    <t>LINE VOLTAGE ELECTRICAL WORK. ADD 1 CIRCUITS TO EXISTING 200 AMP SERVICE DISCONNECTING MEANS. RECEPTACLE OUTLETS: 1 . LIGHTING OUTLETS: 1. SPECIFIC LOCATION: GARAGE.</t>
  </si>
  <si>
    <t>PURPOSE: NEW/REPLACEMENT INSTALLATION. VINYL/PVC FENCE - 6'-0' ' (HEIGHT) X 23'-0' ' (LENGTH). LOCATION: BACK YARD. | SPECIAL CONDITION: AS PROPOSED, NEW FENCE TO BE INSTALLED IN THE REAR YARD ONLY. NO NEW FENCES TO BE INSTALLED IN THE FRONT YARD.</t>
  </si>
  <si>
    <t>LINE VOLTAGE ELECTRICAL WORK. REPAIR OR ALTER DEVICES ON EXISTING CIRCUITS. RECEPTACLE OUTLETS: 2 . LIGHTING OUTLETS: 2. SPECIFIC LOCATION: 1ST 2ND 3RD AND BASEMENT LEVELS.</t>
  </si>
  <si>
    <t>SCOPE: ROOF REPLACEMENT. AREA: 1300 SQ. FT. ROOF COVERING: BUILT-UP ROOF. LOCATION: ROOF REPLACEMENT DUE TO MULTIPLE LAYERS PER CODE. IL ROOFING CONTRACTOR LICENSE: 104016500.</t>
  </si>
  <si>
    <t>TUCKPOINTING AND UNIT MASONRY REPAIR / REPLACEMENT: 1000 SQ. FT., LINTEL QTY. 15, MAX. LENGTH 9. PARAPET REBUILDING: 500 SQ. FT. LOCATION: MASONRY REPAIR, LINTELS REPLACEMENT. | SPECIAL CONDITION: PERMIT FOR THE USE OF THE PUBLIC WAY MUST BE PULLED SEPARATELY</t>
  </si>
  <si>
    <t>LINE VOLTAGE ELECTRICAL WORK. REPAIR OR ALTER DEVICES ON EXISTING CIRCUITS. RECEPTACLE OUTLETS: 1 . LIGHTING OUTLETS: 0. SPECIFIC LOCATION: HUDSON NEWS T1/T3.</t>
  </si>
  <si>
    <t>TUCKPOINTING AND UNIT MASONRY REPAIR / REPLACEMENT: 1500 SQ. FT., LINTEL QTY. 0, MAX. LENGTH 0. PARAPET REBUILDING: 1000 SQ. FT. LOCATION: PARAPET WALLS, EXTERIOR MASONRY FRONT.</t>
  </si>
  <si>
    <t>LINE VOLTAGE ELECTRICAL WORK. REPAIR OR ALTER DEVICES ON EXISTING CIRCUITS. RECEPTACLE OUTLETS: 1 . LIGHTING OUTLETS: 0. SPECIFIC LOCATION: HUDSON NEWS B CONCOURSE.</t>
  </si>
  <si>
    <t>TUCKPOINTING AND UNIT MASONRY REPAIR / REPLACEMENT: 2000 SQ. FT., LINTEL QTY. 0, MAX. LENGTH 0. PARAPET REBUILDING: 100 SQ. FT. LOCATION: EAST ELEVATION.</t>
  </si>
  <si>
    <t>REPAIR/REPLACEMENT AFFECTING 1 SYSTEMS :   3 ROOFTOP PACKAGED UNIT(ROOFTOP) . ELECTRICAL WORK UNDER THIS PERMIT = NO . LOCATIONS: 0 RESIDENTIAL UNIT(S), 0 NON-RESIDENTIAL UNIT(S), EXTERIOR WORK,  ROOFTOP. | SPECIAL CONDITION: CONTACT REFRIGERATION SUPERVISOR CLEMENT GAVIN 312-743-3562, PRIOR TO THE INSTALLATION OF ANY ROOFTOP EQUIPMENT, TO SCHEDULE AN INSPECTION.</t>
  </si>
  <si>
    <t>LINE VOLTAGE ELECTRICAL WORK. REPAIR OR ALTER DEVICES ON EXISTING CIRCUITS. RECEPTACLE OUTLETS: 1 . LIGHTING OUTLETS: 0. ELECTRIC VEHICLE SUPPLY EQUIPMENT:1 SPACES. SPECIFIC LOCATION: EXTERIOR WALL.</t>
  </si>
  <si>
    <t>REMOVE STUCCO AND REPLACE WITH SIDING. LOCATIONS: 0 RESIDENTIAL UNIT(S), 0 NON-RESIDENTIAL UNIT(S), EXTERIOR WORK, FRONT FACADE.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</si>
  <si>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B200436070.* ALL EQUIPMENT, CONNECTORS, RACEWAYS, TAPS, MUST BE LISTED AND LABELED FOR USE.</t>
  </si>
  <si>
    <t>LINE VOLTAGE ELECTRICAL WORK. REPAIR OR ALTER DEVICES ON EXISTING CIRCUITS. RECEPTACLE OUTLETS: 1 . LIGHTING OUTLETS: 0. SPECIFIC LOCATION: INDOOR STAIRS.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</si>
  <si>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B200436076.* ALL EQUIPMENT, CONNECTORS, RACEWAYS, TAPS, MUST BE LISTED AND LABELED FOR USE.</t>
  </si>
  <si>
    <t>FULL REBUILD (SAME AS EXISTING) FOR WOOD EXTERIOR STAIRWAY (QUANTITY: 2, LOCATION: OTHER).</t>
  </si>
  <si>
    <t>FULL REBUILD (SAME AS EXISTING) FOR WOOD PORCH (OPEN) (QUANTITY: 1, LOCATION: REAR OF BUILDING).</t>
  </si>
  <si>
    <t>LINE VOLTAGE ELECTRICAL WORK. NEW PERMANENT 100 AMP SERVICE DISCONNECTING MEANS WITH 24 CIRCUITS. RECEPTACLE OUTLETS: 10 . LIGHTING OUTLETS: 10. SPECIFIC LOCATION: TERMINAL 5 SPACE # 520.</t>
  </si>
  <si>
    <t>LINE VOLTAGE ELECTRICAL WORK. NEW PERMANENT 225 AMP SERVICE DISCONNECTING MEANS WITH 1 CIRCUITS. RECEPTACLE OUTLETS: 1 . LIGHTING OUTLETS: 0. 13.5 KWH LITHIUM ION ENERGY STORAGE SYSTEM. SPECIFIC LOCATION: EXTERIOR WALL.</t>
  </si>
  <si>
    <t>FULL REBUILD (SAME AS EXISTING) FOR WOOD PORCH (OPEN) (QUANTITY: 1, LOCATION: FRONT OF BUILDING).  LANDING: 24 SQUARE FEET.</t>
  </si>
  <si>
    <t>INSTALL SOLAR PANELS ON ROOF OF ACCESSORY BUILDING. ROOF TYPE: SLOPED (2:12 TO 5:12). INVERTER OUTPUT: 7.83 KW. ARRAY OUTPUT: 11.475 KW.  LOCATION: GARAGE ROOF. ICC DISTRIBUTED GENERATION INSTALLER CERT. #25-0072. | SPECIAL CONDITION: * NEC REFERENCES TO BE OMITTED FROM DRAWINGS, ALL GENERAL ELECTRICAL NOTES SHALL REFERENCE CEC 2018. * REFER TO SOLAR (PRINCIPAL) PERMIT B200436089.* PLEASE APPLY FOR ELECTRICAL PERMIT PRIOR TO SOLAR INSPECTION AND HAVE PRESENT ON DATE OF INSPECTION OR RISK FAILURE AS PROPOSED WORK PER ELECTRICAL DRAWING.* UNDERGROUND RACEWAY TO BE INSPECTED BY AHJ PRIOR TO COVERING. * ALL EQUIPMENT, CONNECTORS, RACEWAYS, TAPS, ETC... MUST BE LISTED AND LABELED FOR USE.</t>
  </si>
  <si>
    <t>INSTALL SOLAR PANELS ON ROOF OF PRINCIPAL BUILDING. ROOF TYPE: SLOPED (2:12 TO 5:12). INVERTER OUTPUT: 3.19 KW. ARRAY OUTPUT: 4.675 KW.  LOCATION: MAIN HOUSE ROOF. ICC DISTRIBUTED GENERATION INSTALLER CERT. #25-0072. | SPECIAL CONDITION: * NEC REFERENCES TO BE OMITTED FROM DRAWINGS, ALL GENERAL ELECTRICAL NOTES SHALL REFERENCE CEC 2018. * REFER TO SOLAR (ACCESSORY) PERMIT B200436084.* PLEASE APPLY FOR ELECTRICAL PERMIT PRIOR TO SOLAR INSPECTION AND HAVE PRESENT ON DATE OF INSPECTION OR RISK FAILURE AS PROPOSED WORK PER ELECTRICAL DRAWING.* UNDERGROUND RACEWAY TO BE INSPECTED BY AHJ PRIOR TO COVERING. * ALL EQUIPMENT, CONNECTORS, RACEWAYS, TAPS, ETC... MUST BE LISTED AND LABELED FOR USE.</t>
  </si>
  <si>
    <t>FOOTING AND POST WITH FOUNDATION WALL REPLACEMENT. LOCATIONS: 0 RESIDENTIAL UNIT(S), 1 NON-RESIDENTIAL UNIT(S), 1 INTERIOR COMMON AREAS, EXTERIOR WORK, OUTSIDE WALL AND CORRESPONDING INTERIOR WALL.</t>
  </si>
  <si>
    <t>TUCKPOINTING AND UNIT MASONRY REPAIR / REPLACEMENT: 14000 SQ. FT., LINTEL QTY. 0, MAX. LENGTH 0. LOCATION: ALL EXTERIOR FACADE ELEVATIONS.</t>
  </si>
  <si>
    <t>SCOPE: ROOF REPLACEMENT. AREA: 12300 SQ. FT. ROOF COVERING: OTHER. LOCATION: ROOF TOP. IL ROOFING CONTRACTOR LICENSE: 104014585.</t>
  </si>
  <si>
    <t>INSTALL SOLAR PANELS ON ROOF OF PRINCIPAL BUILDING. ROOF TYPE: STEEP (&gt;5:12). INVERTER OUTPUT: 3.19 KW. ARRAY OUTPUT: 0.04906 KW.  LOCATION: ROOF TOP OF PRINCIPLE STRUCTURE. ICC DISTRIBUTED GENERATION INSTALLER CERT. #23-0387. | SPECIAL CONDITION: * NEC REFERENCES TO BE OMITTED FROM DRAWINGS, ALL GENERAL ELECTRICAL NOTES SHALL REFERENCE CEC 2018. * ALL EQUIPMENT, CONNECTORS, RACEWAYS, TAPS, ETC... MUST BE LISTED AND LABELED FOR USE.</t>
  </si>
  <si>
    <t>LINE VOLTAGE ELECTRICAL WORK. NEW PERMANENT 400 AMP SERVICE DISCONNECTING MEANS WITH 20 CIRCUITS. RECEPTACLE OUTLETS: 1 . LIGHTING OUTLETS: 0. SPECIFIC LOCATION: BASEMENT. | SPECIAL CONDITION: * PLEASE PROVIDE LOAD CALCULATIONS PER CEC 215.5 AND TO BE SIGNED/DATED BY SUPERVISING ELECTRICIAN.</t>
  </si>
  <si>
    <t>NEW DETACHED WOOD FRAME GARAGE. DIMENSIONS AND SETBACKS PER APPLICATION. BUILDING OUTSIDE DIMENSIONS: 22'-0' ' X22'-0' '. HIP ROOF HEIGHT TO PEAK: 13'-0' '.</t>
  </si>
  <si>
    <t>LINE VOLTAGE ELECTRICAL WORK. NEW PERMANENT 100 AMP SERVICE DISCONNECTING MEANS WITH 1 CIRCUITS. RECEPTACLE OUTLETS: 1 . LIGHTING OUTLETS: 0. SPECIFIC LOCATION: IN UNIT.</t>
  </si>
  <si>
    <t>LIMITED REPAIR (25% OR LESS) FOR WOOD PORCH (OPEN) (QUANTITY: 1, LOCATION: FRONT OF BUILDING).  LANDING NOT MORE THAN 6 FEET ABOVE GROUND.</t>
  </si>
  <si>
    <t>LINE VOLTAGE ELECTRICAL WORK. REPAIR OR ALTER DEVICES ON EXISTING CIRCUITS. RECEPTACLE OUTLETS: 1 . LIGHTING OUTLETS: 0. SPECIFIC LOCATION: PENTHOUSE - REMOVE EXISTING HANGING FLEX.</t>
  </si>
  <si>
    <t>LINE VOLTAGE ELECTRICAL WORK. INSTALL SYSTEM I EMERGENCY LIGHTING.  RECEPTACLE OUTLETS: 0 . LIGHTING OUTLETS: 0. SPECIFIC LOCATION: INTERIOR BUILDOUT.</t>
  </si>
  <si>
    <t>NEW DETACHED WOOD FRAME GARAGE. DIMENSIONS AND SETBACKS PER APPLICATION. BUILDING OUTSIDE DIMENSIONS: 20'-0' ' X29'-0' '. HIP ROOF HEIGHT TO PEAK: 15'-0' '.</t>
  </si>
  <si>
    <t>LOW VOLTAGE/COMMUNICATION ELECTRICAL WORK. INSTALL DATA/VIDEO. SPECIFIC LOCATION: 31ST FLOOR.</t>
  </si>
  <si>
    <t>LOW VOLTAGE/COMMUNICATION ELECTRICAL WORK. INSTALL DATA/VIDEO. SPECIFIC LOCATION: 7TH FLOOR.</t>
  </si>
  <si>
    <t>TUCKPOINTING AND UNIT MASONRY REPAIR / REPLACEMENT: 500 SQ. FT., LINTEL QTY. 2, MAX. LENGTH 11. LOCATION: INTERIOR.</t>
  </si>
  <si>
    <t>FULL REBUILD (SAME AS EXISTING) FOR WOOD PORCH (OPEN) (QUANTITY: 1, LOCATION: FRONT OF BUILDING).  LANDING: 80 SQUARE FEET.  LANDING NOT MORE THAN 6 FEET ABOVE GROUND.</t>
  </si>
  <si>
    <t>TUCKPOINTING AND UNIT MASONRY REPAIR / REPLACEMENT: 75 SQ. FT., LINTEL QTY. 0, MAX. LENGTH 0. LOCATION: SOUTH ELEVATION.</t>
  </si>
  <si>
    <t>INSTALL SOLAR PANELS ON ROOF OF PRINCIPAL BUILDING. ROOF TYPE: STEEP (&gt;5:12). INVERTER OUTPUT: 10 KW. ARRAY OUTPUT: 4.51 KW.   INCLUDES 13.5 KWH ENERGY STORAGE SYSTEM.  LOCATION: ROOF PLANES OF STRUCTURE. ICC DISTRIBUTED GENERATION INSTALLER CERT. #18-0817. | SPECIAL CONDITION: * NEC REFERENCES TO BE OMITTED FROM DRAWINGS, ALL GENERAL ELECTRICAL NOTES SHALL REFERENCE CEC 2018. * REFER TO ELECTRICAL PERMIT B200436149.*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</si>
  <si>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WALL.</t>
  </si>
  <si>
    <t>LINE VOLTAGE ELECTRICAL WORK. NEW PERMANENT 100 AMP SERVICE DISCONNECTING MEANS WITH 1 CIRCUITS. RECEPTACLE OUTLETS: 0 . LIGHTING OUTLETS: 1. SPECIFIC LOCATION: BASEMENT.</t>
  </si>
  <si>
    <t>INSTALL SOLAR PANELS ON ROOF OF PRINCIPAL BUILDING. ROOF TYPE: STEEP (&gt;5:12). INVERTER OUTPUT: 10 KW. ARRAY OUTPUT: 10.66 KW.   INCLUDES 13.5 KWH ENERGY STORAGE SYSTEM.  LOCATION: EXTERIOR WALL. ICC DISTRIBUTED GENERATION INSTALLER CERT. #18-0817. | SPECIAL CONDITION: * NEC REFERENCES TO BE OMITTED FROM DRAWINGS, ALL GENERAL ELECTRICAL NOTES SHALL REFERENCE CEC 2018. * REFER TO ELECTRICAL PERMIT B200436159.* ALL EQUIPMENT, CONNECTORS, RACEWAYS, TAPS, MUST BE LISTED AND LABELED FOR USE.</t>
  </si>
  <si>
    <t>LINE VOLTAGE ELECTRICAL WORK. REPAIR OR ALTER DEVICES ON EXISTING CIRCUITS. RECEPTACLE OUTLETS: 10 . LIGHTING OUTLETS: 5. SPECIFIC LOCATION: 1ST FL.</t>
  </si>
  <si>
    <t>LINE VOLTAGE ELECTRICAL WORK. REPAIR OR ALTER DEVICES ON EXISTING CIRCUITS. RECEPTACLE OUTLETS: 3 . LIGHTING OUTLETS: 0. SPECIFIC LOCATION: OUTSIDE (BACK OF HOUSE),  BASEMENT, ELEC PNL AREA.</t>
  </si>
  <si>
    <t>INSTALL SOLAR PANELS ON ROOF OF PRINCIPAL BUILDING. ROOF TYPE: STEEP (&gt;5:12). INVERTER OUTPUT: 10 KW. ARRAY OUTPUT: 5.74 KW.   INCLUDES 13.5 KWH ENERGY STORAGE SYSTEM.  LOCATION: EXTERIOR WALL. ICC DISTRIBUTED GENERATION INSTALLER CERT. #18-0817. | SPECIAL CONDITION: * NEC REFERENCES TO BE OMITTED FROM DRAWINGS, ALL GENERAL ELECTRICAL NOTES SHALL REFERENCE CEC 2018. * REFER TO ELECTRICAL PERMIT B200436167.* ALL EQUIPMENT, CONNECTORS, RACEWAYS, TAPS, MUST BE LISTED AND LABELED FOR USE.</t>
  </si>
  <si>
    <t>INSTALL SOLAR PANELS ON ROOF OF PRINCIPAL BUILDING. ROOF TYPE: STEEP (&gt;5:12). INVERTER OUTPUT: 10 KW. ARRAY OUTPUT: 12.3 KW.   INCLUDES 13.5 KWH ENERGY STORAGE SYSTEM.  LOCATION: EXTERIOR WALL. ICC DISTRIBUTED GENERATION INSTALLER CERT. #18-0817. | SPECIAL CONDITION: * NEC REFERENCES TO BE OMITTED FROM DRAWINGS, ALL GENERAL ELECTRICAL NOTES SHALL REFERENCE CEC 2018. * REFER TO ELECTRICAL PERMIT B200430309.* ALL EQUIPMENT, CONNECTORS, RACEWAYS, TAPS, MUST BE LISTED AND LABELED FOR USE.</t>
  </si>
  <si>
    <t>LINE VOLTAGE ELECTRICAL WORK. REPAIR OR ALTER DEVICES ON EXISTING CIRCUITS. RECEPTACLE OUTLETS: 1 . LIGHTING OUTLETS: 0. SPECIFIC LOCATION: UNIT# 5114: ELEC PNL CLOSET AREA.</t>
  </si>
  <si>
    <t>INSTALL SOLAR PANELS ON ROOF OF PRINCIPAL BUILDING. ROOF TYPE: SLOPED (2:12 TO 5:12). INVERTER OUTPUT: 10 KW. ARRAY OUTPUT: 6.56 KW.   INCLUDES 13.5 KWH ENERGY STORAGE SYSTEM.  LOCATION: EXTERIOR WALL. ICC DISTRIBUTED GENERATION INSTALLER CERT. #18-0817. | SPECIAL CONDITION: * NEC REFERENCES TO BE OMITTED FROM DRAWINGS, ALL GENERAL ELECTRICAL NOTES SHALL REFERENCE CEC 2018. * REFER TO ELECTRICAL PERMIT B200436174.* ALL EQUIPMENT, CONNECTORS, RACEWAYS, TAPS, MUST BE LISTED AND LABELED FOR USE.</t>
  </si>
  <si>
    <t>LINE VOLTAGE ELECTRICAL WORK. REPAIR OR ALTER DEVICES ON EXISTING CIRCUITS. RECEPTACLE OUTLETS: 0 . LIGHTING OUTLETS: 5. SPECIFIC LOCATION: OUTSIDE CONDO ASSN:  GATE, BASEMENT, GARAGE WALL.</t>
  </si>
  <si>
    <t>SCOPE: ROOF REPLACEMENT. AREA: 7500 SQ. FT. ROOF COVERING: OTHER. LOCATION: ROOF TOP. IL ROOFING CONTRACTOR LICENSE: 104008010.</t>
  </si>
  <si>
    <t>SCOPE: NONSTRUCTURAL INTERIOR WORK: REPLACE DRYWALL, REPLACE ELECTRICAL AND PLUMBING FIXTURES IN SAME LOCATION. REPLACE EXISTING 100 AMP ELECTRICAL PANEL WITH NEW 200 AMP-120/240 VOLT. LOCATIONS: 1 RESIDENTIAL UNIT(S), 0 NON-RESIDENTIAL UNIT(S), BASEMENT, FIRST FLOOR  AND ATTIC. | SPECIAL CONDITION: NO CHANGES TO LAYOUT</t>
  </si>
  <si>
    <t>TUCKPOINTING AND UNIT MASONRY REPAIR / REPLACEMENT: 60 SQ. FT., LINTEL QTY. 0, MAX. LENGTH 0. LOCATION: NORTH EXTERIOR WALL.</t>
  </si>
  <si>
    <t>LINE VOLTAGE ELECTRICAL WORK. NEW PERMANENT 200 AMP SERVICE DISCONNECTING MEANS WITH 30 CIRCUITS. RECEPTACLE OUTLETS: 1 . LIGHTING OUTLETS: 0. SPECIFIC LOCATION: BASEMENT.</t>
  </si>
  <si>
    <t>NEW DETACHED WOOD FRAME GARAGE. DIMENSIONS AND SETBACKS PER APPLICATION. BUILDING OUTSIDE DIMENSIONS: 22'-0' ' X20'-0' '. HIP ROOF HEIGHT TO PEAK: 13'-6' '.</t>
  </si>
  <si>
    <t>NEW DETACHED WOOD FRAME GARAGE. DIMENSIONS AND SETBACKS PER APPLICATION. BUILDING OUTSIDE DIMENSIONS: 20'-0' ' X18'-0' '. HIP ROOF HEIGHT TO PEAK: 12'-6' '.</t>
  </si>
  <si>
    <t>NEW DETACHED WOOD FRAME GARAGE. DIMENSIONS AND SETBACKS PER APPLICATION. BUILDING OUTSIDE DIMENSIONS: 24'-0' ' X20'-0' '. GABLE ROOF HEIGHT TO PEAK: 15'-0' '.</t>
  </si>
  <si>
    <t>SCOPE: ROOF REPLACEMENT. AREA: 3143 SQ. FT. ROOF COVERING: MINERAL - SURFACED ROLL ROOFING. LOCATION: TOP OF THE BUILDING-ROOF. IL ROOFING CONTRACTOR LICENSE: 104018798.</t>
  </si>
  <si>
    <t>IN-KIND REPLACEMENT OF EXTERIOR WINDOWS AND DOORS IN EXISTING OPENINGS. REPLACEMENT WINDOWS: 10; REPLACEMENT SKYLIGHTS: 0; REPLACEMENT DOORS: 1. AFFECTS: 1 RESIDENTIAL UNIT(S), 0 NON-RESIDENTIAL UNIT(S), LOCATION: UNIT 2.</t>
  </si>
  <si>
    <t>PURPOSE: NEW/REPLACEMENT INSTALLATION. WROUGHT IRON FENCE - 6'-0' ' (HEIGHT) X 450'-0' ' (LENGTH). LOCATION: FRONT EDGE OF LOT.</t>
  </si>
  <si>
    <t>LOW VOLTAGE/COMMUNICATION ELECTRICAL WORK. INSTALL DATA/VIDEO. SPECIFIC LOCATION: 6560 W FULLERTON AVE.</t>
  </si>
  <si>
    <t>TUCKPOINTING AND UNIT MASONRY REPAIR / REPLACEMENT: 2000 SQ. FT., LINTEL QTY. 0, MAX. LENGTH 0. LOCATION: WORK ON ALL SIDES OF THE BUILDING.</t>
  </si>
  <si>
    <t>LINE VOLTAGE ELECTRICAL WORK. NEW PERMANENT 400 AMP SERVICE DISCONNECTING MEANS WITH 1 CIRCUITS. RECEPTACLE OUTLETS: 1 . LIGHTING OUTLETS: 0. SPECIFIC LOCATION: REAR OF BUILDING. | SPECIAL CONDITION: *PLEASE PROVIDE LOAD CALCULATIONS, GROUNDING DETAILS (INCLUDING COLD WATER GROUND CONDUCTOR SIZE AND TYPE), THE NUMBER OF INCOMING FEEDER CONDUITS, AND THE SIZE AND TYPE OF FEEDER CONDUCTORS.</t>
  </si>
  <si>
    <t>LOW VOLTAGE/COMMUNICATION ELECTRICAL WORK. INSTALL OTHER. SPECIFIC LOCATION: CTE CLASSROOM 124A.</t>
  </si>
  <si>
    <t>REPAIR OR IN-KIND REPLACEMENT OF 0 PLUMBING FIXTURES AS DESCRIBED IN PERMIT APPLICATION.  INCLUDES REPAIR OR REPLACMENT OF PLUMBING PIPING.  LOCATIONS: 1 RESIDENTIAL UNIT(S), 0 NON-RESIDENTIAL UNIT(S), UNDERGROUND PLUMBING AND DRAIN TILES.</t>
  </si>
  <si>
    <t>DUCTWORK EXTENSION/RECONFIGURATION, REPAIR/REPLACEMENT AFFECTING 1 SYSTEMS :   4 BOILER - HOT WATER(LOCHINVAR, FB0751-FB6001, LEVEL 2) . ELECTRICAL WORK UNDER THIS PERMIT = NO . LOCATIONS: 0 RESIDENTIAL UNIT(S), 0 NON-RESIDENTIAL UNIT(S), 1 INTERIOR COMMON AREAS, EXTERIOR WORK,  SECOND FLOOR MECHANICAL ROOM.</t>
  </si>
  <si>
    <t>NEW DETACHED WOOD FRAME GARAGE. DIMENSIONS AND SETBACKS PER APPLICATION. BUILDING OUTSIDE DIMENSIONS: 24'-0' ' X24'-0' '. GABLE ROOF HEIGHT TO PEAK: 15'-0' '.</t>
  </si>
  <si>
    <t>REPAIRS ONLY TO THE GARAGE PER BUILDING VIOLATIONS. LOCATIONS: 0 RESIDENTIAL UNIT(S), 1 NON-RESIDENTIAL UNIT(S), GARAGE REPAIR.</t>
  </si>
  <si>
    <t>LOW VOLTAGE/COMMUNICATION ELECTRICAL WORK. ALTER EXISTING DATA/VIDEO. SPECIFIC LOCATION: COMMERCIAL TENANT LOW VOLTAGE CABLING ADD.</t>
  </si>
  <si>
    <t>SCOPE: NONSTRUCTURAL INTERIOR ALTERATION TO EXISTING BANK TO CREATE NEW CONFERENCE FOOM. NEW ELECTRICAL OUTLETS WITH MODIFCATIONS TO MECHANIAL AIR SUPPLY. LOCATIONS: 0 RESIDENTIAL UNIT(S), 1 NON-RESIDENTIAL UNIT(S), FIRST FLOOR.</t>
  </si>
  <si>
    <t>PURPOSE: NEW/REPLACEMENT INSTALLATION. WOOD FENCE - 6'-0' ' (HEIGHT) X 197'-0' ' (LENGTH). LOCATION: BACKYARD.</t>
  </si>
  <si>
    <t>LINE VOLTAGE ELECTRICAL WORK. REPAIR OR ALTER DEVICES ON EXISTING CIRCUITS. RECEPTACLE OUTLETS: 1 . LIGHTING OUTLETS: 1. SPECIFIC LOCATION: 1 FLOOR KITCHEN REMODEL.</t>
  </si>
  <si>
    <t>NEW DETACHED WOOD FRAME GARAGE. DIMENSIONS AND SETBACKS PER APPLICATION. BUILDING OUTSIDE DIMENSIONS: 24'-0' ' X20'-0' '. GABLE ROOF HEIGHT TO PEAK: 13'-0' '.</t>
  </si>
  <si>
    <t>INSTALL SOLAR PANELS ON ROOF OF PRINCIPAL BUILDING. ROOF TYPE: LOW-SLOPED (&lt;2:12). INVERTER OUTPUT: 4.35 KW. ARRAY OUTPUT: 6.375 KW.  LOCATION: ROOF AND EXTERIOR. ICC DISTRIBUTED GENERATION INSTALLER CERT. #25-0072.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DRAWING.*ALL EQUIPMENT, CONNECTORS, RACEWAYS, TAPS, MUST BE LISTED AND LABELED FOR USE.</t>
  </si>
  <si>
    <t>INSTALL SOLAR PANELS ON ROOF OF PRINCIPAL BUILDING. ROOF TYPE: LOW-SLOPED (&lt;2:12). INVERTER OUTPUT: 0.48 KW. ARRAY OUTPUT: 0.01416 KW.  LOCATION: ROOFTOP SOLAR. ICC DISTRIBUTED GENERATION INSTALLER CERT. #19-0053.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ALL EQUIPMENT, CONNECTORS, RACEWAYS, TAPS, MUST BE LISTED AND LABELED FOR USE.</t>
  </si>
  <si>
    <t>LINE VOLTAGE ELECTRICAL WORK. REPAIR OR ALTER DEVICES ON EXISTING CIRCUITS. RECEPTACLE OUTLETS: 87 . LIGHTING OUTLETS: 0. SPECIFIC LOCATION: 39TH FLOOR.</t>
  </si>
  <si>
    <t>DUCTWORK EXTENSION/RECONFIGURATION, HYDRONIC PIPING EXTENSION/RECONFIGURATION, ELECTRICAL WORK UNDER THIS PERMIT = YES . LOCATIONS: 0 RESIDENTIAL UNIT(S), 2 NON-RESIDENTIAL UNIT(S),  DAIKIN-WSCH036-31ST &amp; DAIKIN-WSCH019-32ND SERVER.</t>
  </si>
  <si>
    <t>SCOPE: ROOF REPLACEMENT. AREA: 8267 SQ. FT. ROOF COVERING: OTHER. LOCATION: ENTIRE BUILDING AND DETACHED GARAGE. IL ROOFING CONTRACTOR LICENSE: 104.00922.</t>
  </si>
  <si>
    <t>LINE VOLTAGE ELECTRICAL WORK. REPAIR OR ALTER DEVICES ON EXISTING CIRCUITS. RECEPTACLE OUTLETS: 1 . LIGHTING OUTLETS: 0. SPECIFIC LOCATION: IN BOILER ROOM.</t>
  </si>
  <si>
    <t>REPAIR/REPLACEMENT AFFECTING 1 SYSTEMS :   1 ROOFTOP PACKAGED UNIT(RTU 3.1, CAPTIVE AIRE) . ELECTRICAL WORK UNDER THIS PERMIT = NO . LOCATIONS: 0 RESIDENTIAL UNIT(S), 40 NON-RESIDENTIAL UNIT(S), EXTERIOR WORK,  ROOF LEVEL. | SPECIAL CONDITION: CONTACT REFRIGERATION SUPERVISOR CLEMENT GAVIN 312-743-3562, PRIOR TO THE INSTALLATION OF ANY ROOFTOP EQUIPMENT, TO SCHEDULE AN INSPECTION.</t>
  </si>
  <si>
    <t>LINE VOLTAGE ELECTRICAL WORK. ADD 1 CIRCUITS TO EXISTING 20 AMP SERVICE DISCONNECTING MEANS. RECEPTACLE OUTLETS: 1 . LIGHTING OUTLETS: 0. SPECIFIC LOCATION: LEVEL 7.</t>
  </si>
  <si>
    <t>LOW VOLTAGE/COMMUNICATION ELECTRICAL WORK. INSTALL AUDIO. SPECIFIC LOCATION: FLOORS 18,19,20,21,22.</t>
  </si>
  <si>
    <t>SCOPE: ROOF REPLACEMENT. AREA: 173161 SQ. FT. ROOF COVERING: OTHER. LOCATION: EXISTING ROOF. IL ROOFING CONTRACTOR LICENSE: 104015473.</t>
  </si>
  <si>
    <t>PURPOSE: NEW/REPLACEMENT INSTALLATION. VINYL/PVC FENCE - 6'-0' ' (HEIGHT) X 145'-0' ' (LENGTH). LOCATION: BACKYARD.</t>
  </si>
  <si>
    <t>IN-KIND REPLACEMENT OF EXTERIOR WINDOWS AND DOORS IN EXISTING OPENINGS. REPLACEMENT WINDOWS: 21; REPLACEMENT SKYLIGHTS: 0; REPLACEMENT DOORS: 2. AFFECTS: 1 RESIDENTIAL UNIT(S), 0 NON-RESIDENTIAL UNIT(S), LOCATION: ALL WINDOWS AND DOORS.</t>
  </si>
  <si>
    <t>SCOPE: ROOF REPAIR. AREA: 5 SQ. FT. ROOF COVERING: ASPHALT SHINGLES. LOCATION: SOUTH ROOF PLANE, DECKING REPAIR UNDER SHINGLE. IL ROOFING CONTRACTOR LICENSE: 104019067.</t>
  </si>
  <si>
    <t>REPAIR/REPLACEMENT AFFECTING 2 SYSTEMS :   1 CENTRAL FURNACE(PAYNE OR COMPARABLE)  1 SINGLE PACKAGE VERTICAL UNIT(DAIKIN OR COMPARABLE) . ELECTRICAL WORK UNDER THIS PERMIT = NO . LOCATIONS: 1 RESIDENTIAL UNIT(S), 1 NON-RESIDENTIAL UNIT(S),  BASEMENT UNIT.</t>
  </si>
  <si>
    <t>INSTALL SOLAR PANELS ON ROOF OF PRINCIPAL BUILDING. ROOF TYPE: STEEP (&gt;5:12). INVERTER OUTPUT: 6 KW. ARRAY OUTPUT: 7.65 KW.  LOCATION: ROOFTOP. ICC DISTRIBUTED GENERATION INSTALLER CERT. #19-0250. | SPECIAL CONDITION: * NEC REFERENCES TO BE OMITTED FROM DRAWINGS, ALL GENERAL ELECTRICAL NOTES SHALL REFERENCE CEC 2018. *ALL EQUIPMENT, CONNECTORS, RACEWAYS, TAPS, MUST BE LISTED AND LABELED FOR USE.</t>
  </si>
  <si>
    <t>TUCKPOINTING AND UNIT MASONRY REPAIR / REPLACEMENT: 2000 SQ. FT., LINTEL QTY. 13, MAX. LENGTH 6. PARAPET REBUILDING: 1000 SQ. FT. LOCATION: REPER EXISTING EXTERIOR BRICK WALL, REPAIR LINTELS.</t>
  </si>
  <si>
    <t>SCOPE: ROOF REPLACEMENT. AREA: 8700 SQ. FT. ROOF COVERING: MINERAL - SURFACED ROLL ROOFING. LOCATION: TEAR-OFF EXISTING ROOF AND INSTAL NEW.. IL ROOFING CONTRACTOR LICENSE: 104015083.</t>
  </si>
  <si>
    <t>INSTALL SOLAR PANELS ON ROOF OF ACCESSORY BUILDING. ROOF TYPE: STEEP (&gt;5:12). INVERTER OUTPUT: 10 KW. ARRAY OUTPUT: 8.61 KW.   INCLUDES 13.5 KWH ENERGY STORAGE SYSTEM.  LOCATION: ROOF PLANES OF ACCESSORY BUILDING. ICC DISTRIBUTED GENERATION INSTALLER CERT. #18-0817. | SPECIAL CONDITION: * NEC REFERENCES TO BE OMITTED FROM DRAWINGS, ALL GENERAL ELECTRICAL NOTES SHALL REFERENCE CEC 2018. * PLEASE REFER TO SOLAR (PRINCIPAL) BUILDING PERMIT B200436319 AND ELECTRICAL PERMIT B200436168.* UNDERGROUND RACEWAY TO BE INSPECTED BY AHJ PRIOR TO COVERING. * ALL EQUIPMENT, CONNECTORS, RACEWAYS, TAPS, MUST BE LISTED AND LABELED FOR USE.</t>
  </si>
  <si>
    <t>FULL REBUILD (SAME AS EXISTING) FOR WOOD EXTERIOR STAIRWAY (QUANTITY: 1, LOCATION: FRONT OF BUILDING).  LANDING: 100 SQUARE FEET.  LANDING NOT MORE THAN 6 FEET ABOVE GROUND. FULL REBUILD (SAME AS EXISTING) FOR WOOD EXTERIOR STAIRWAY (QUANTITY: 1, LOCATION: REAR OF BUILDING).  LANDING: 70 SQUARE FEET.  LANDING NOT MORE THAN 6 FEET ABOVE GROUND. REPAIR (26% TO 50%) FOR WOOD EXTERIOR BALCONY (QUANTITY: 1, LOCATION: REAR OF BUILDING).</t>
  </si>
  <si>
    <t>INSTALL SOLAR PANELS ON ROOF OF PRINCIPAL BUILDING. ROOF TYPE: STEEP (&gt;5:12). INVERTER OUTPUT: 10 KW. ARRAY OUTPUT: 3.69 KW.   INCLUDES 13.5 KWH ENERGY STORAGE SYSTEM.  LOCATION: ROOF PLANES OF PRINCIPAL STRUCTURE. ICC DISTRIBUTED GENERATION INSTALLER CERT. #18-0817. | SPECIAL CONDITION: * NEC REFERENCES TO BE OMITTED FROM DRAWINGS, ALL GENERAL ELECTRICAL NOTES SHALL REFERENCE CEC 2018. * PLEASE REFER TO SOLAR (ACCESSORY) BUILDING PERMIT B200436316 AND ELECTRICAL PERMIT B200436168.* UNDERGROUND RACEWAY TO BE INSPECTED BY AHJ PRIOR TO COVERING. * ALL EQUIPMENT, CONNECTORS, RACEWAYS, TAPS, MUST BE LISTED AND LABELED FOR USE.</t>
  </si>
  <si>
    <t>PURPOSE: NEW/REPLACEMENT INSTALLATION. WOOD FENCE - 6'-0' ' (HEIGHT) X 74'-0' ' (LENGTH). LOCATION: SOUTH AND NORTH TOWARDS THE REAR OF THE PROPERTY.</t>
  </si>
  <si>
    <t>INSTALL SOLAR PANELS ON ROOF OF PRINCIPAL BUILDING. ROOF TYPE: STEEP (&gt;5:12). INVERTER OUTPUT: 6.96 KW. ARRAY OUTPUT: 0.23328 KW.  LOCATION: ROOF TOP OF PRINCIPLE STRUCTURE. ICC DISTRIBUTED GENERATION INSTALLER CERT. #23-0387. | SPECIAL CONDITION: * NEC REFERENCES TO BE OMITTED FROM DRAWINGS, ALL GENERAL ELECTRICAL NOTES SHALL REFERENCE CEC 2018. * REFER TO SOLAR (ACCESSORY) PERMIT B200436328.* UNDERGROUND RACEWAY TO BE INSPECTED BY AHJ PRIOR TO COVERING. *ALL EQUIPMENT, CONNECTORS, RACEWAYS, TAPS, MUST BE LISTED AND LABELED FOR USE.</t>
  </si>
  <si>
    <t>LINE VOLTAGE ELECTRICAL WORK. REPAIR OR ALTER DEVICES ON EXISTING CIRCUITS. RECEPTACLE OUTLETS: 30 . LIGHTING OUTLETS: 10. SPECIFIC LOCATION: 1ST FLOOR, 2ND FLOOR AND GARDEN UNIT. | SPECIAL CONDITION: SEE RENOVATION PERMIT NO 101062115 FOR INSPECTIONS</t>
  </si>
  <si>
    <t>INSTALL SOLAR PANELS ON ROOF OF ACCESSORY BUILDING. ROOF TYPE: STEEP (&gt;5:12). INVERTER OUTPUT: 6.96 KW. ARRAY OUTPUT: 0.23328 KW.  LOCATION: ROOF TOP OF ACCESSORY STRUCTURE. ICC DISTRIBUTED GENERATION INSTALLER CERT. #23-0387. | SPECIAL CONDITION: * NEC REFERENCES TO BE OMITTED FROM DRAWINGS, ALL GENERAL ELECTRICAL NOTES SHALL REFERENCE CEC 2018. * REFER TO SOLAR (PRINCIPAL) PERMIT B200436323.* UNDERGROUND RACEWAY TO BE INSPECTED BY AHJ PRIOR TO COVERING. *ALL EQUIPMENT, CONNECTORS, RACEWAYS, TAPS, MUST BE LISTED AND LABELED FOR USE.</t>
  </si>
  <si>
    <t>LINE VOLTAGE ELECTRICAL WORK. ADD 1 CIRCUITS TO EXISTING 200 AMP SERVICE DISCONNECTING MEANS. RECEPTACLE OUTLETS: 1 . LIGHTING OUTLETS: 1. ELECTRIC VEHICLE SUPPLY EQUIPMENT:1 SPACES. SPECIFIC LOCATION: GARAGE.</t>
  </si>
  <si>
    <t>INSTALL SOLAR PANELS ON ROOF OF PRINCIPAL BUILDING. ROOF TYPE: SLOPED (2:12 TO 5:12). INVERTER OUTPUT: 10 KW. ARRAY OUTPUT: 5.74 KW.   INCLUDES 13.5 KWH ENERGY STORAGE SYSTEM.  LOCATION: EXTERIOR WALL. ICC DISTRIBUTED GENERATION INSTALLER CERT. #18-0817. | SPECIAL CONDITION: * NEC REFERENCES TO BE OMITTED FROM DRAWINGS, ALL GENERAL ELECTRICAL NOTES SHALL REFERENCE CEC 2018. * PLEASE REFER TO SOLAR (ACCESSORY) BUILDING PERMIT B200436339 AND ELECTRICAL PERMIT B200436342.* UNDERGROUND RACEWAY TO BE INSPECTED BY AHJ PRIOR TO COVERING. * ALL EQUIPMENT, CONNECTORS, RACEWAYS, TAPS, MUST BE LISTED AND LABELED FOR USE.</t>
  </si>
  <si>
    <t>LINE VOLTAGE ELECTRICAL WORK. ADD 16 CIRCUITS TO EXISTING 200 AMP SERVICE DISCONNECTING MEANS. RECEPTACLE OUTLETS: 20 . LIGHTING OUTLETS: 6. SPECIFIC LOCATION: ALL APARTMENTS AND COMMON AREAS.</t>
  </si>
  <si>
    <t>INSTALL SOLAR PANELS ON ROOF OF ACCESSORY BUILDING. ROOF TYPE: STEEP (&gt;5:12). INVERTER OUTPUT: 10 KW. ARRAY OUTPUT: 3.69 KW.   INCLUDES 13.5 KWH ENERGY STORAGE SYSTEM.  LOCATION: EXTERIOR WALL. ICC DISTRIBUTED GENERATION INSTALLER CERT. #18-0817. | SPECIAL CONDITION: * NEC REFERENCES TO BE OMITTED FROM DRAWINGS, ALL GENERAL ELECTRICAL NOTES SHALL REFERENCE CEC 2018. * PLEASE REFER TO SOLAR (PRINCIPAL) BUILDING PERMIT B200436337 AND ELECTRICAL PERMIT B200436342.* UNDERGROUND RACEWAY TO BE INSPECTED BY AHJ PRIOR TO COVERING. * ALL EQUIPMENT, CONNECTORS, RACEWAYS, TAPS, MUST BE LISTED AND LABELED FOR USE.</t>
  </si>
  <si>
    <t>LINE VOLTAGE ELECTRICAL WORK. NEW PERMANENT 225 AMP SERVICE DISCONNECTING MEANS WITH 1 CIRCUITS. RECEPTACLE OUTLETS: 1 . LIGHTING OUTLETS: 0. 13.5 KWH LITHIUM ION ENERGY STORAGE SYSTEM. SPECIFIC LOCATION: EXTERIOR WALL OF PRINCIPAL AND ACCESSORY BUILDING.</t>
  </si>
  <si>
    <t>NONSTRUCTURAL INTERIOR WORK TO EXISTING DAYCARE TO CREATE OFFICE  FROM EXISTING MULTIPURPOSE ROOM, INCLUDES NEW PARTITIONS AND ELECTRICAL. LOCATIONS: 0 RESIDENTIAL UNIT(S), 1 NON-RESIDENTIAL UNIT(S), CORNER OF EXISTING DAYCARE'S MULTIPURPOSE ROOM.</t>
  </si>
  <si>
    <t>LINE VOLTAGE ELECTRICAL WORK. ADD 1 CIRCUITS TO EXISTING 200 AMP SERVICE DISCONNECTING MEANS. RECEPTACLE OUTLETS: 1 . LIGHTING OUTLETS: 0. ELECTRIC VEHICLE SUPPLY EQUIPMENT:1 SPACES. SPECIFIC LOCATION: BASMENT.</t>
  </si>
  <si>
    <t>INSTALL SOLAR PANELS ON ROOF OF PRINCIPAL BUILDING. ROOF TYPE: SLOPED (2:12 TO 5:12). INVERTER OUTPUT: 11.5 KW. ARRAY OUTPUT: 1.67869 KW.   INCLUDES 13.5 KWH ENERGY STORAGE SYSTEM.  LOCATION: ROOF AND INTERIOR OF MAIN HOME AND GARAGE. ICC DISTRIBUTED GENERATION INSTALLER CERT. #18-0853. | SPECIAL CONDITION: * NEC REFERENCES TO BE OMITTED FROM DRAWINGS, ALL GENERAL ELECTRICAL NOTES SHALL REFERENCE CEC 2018. * PLEASE REFER TO SOLAR (ACCESSORY) PERMIT B200436598.* UNDERGROUND RACEWAY TO BE INSPECTED BY AHJ PRIOR TO COVERING. * ALL EQUIPMENT, CONNECTORS, RACEWAYS, TAPS, MUST BE LISTED AND LABELED FOR USE.</t>
  </si>
  <si>
    <t>LINE VOLTAGE ELECTRICAL WORK. NEW PERMANENT 200 AMP SERVICE DISCONNECTING MEANS WITH 12 CIRCUITS. RECEPTACLE OUTLETS: 5 . LIGHTING OUTLETS: 8. SPECIFIC LOCATION: BASEMENT AND 1ST FL.</t>
  </si>
  <si>
    <t>LINE VOLTAGE ELECTRICAL WORK. ADD 1 CIRCUITS TO EXISTING 700 AMP SERVICE DISCONNECTING MEANS. ADD 1 CIRCUITS TO EXISTING 700 AMP SERVICE DISCONNECTING MEANS. RECEPTACLE OUTLETS: 2 . LIGHTING OUTLETS: 0. SPECIFIC LOCATION: 4TH AND 5TH FLOOR.</t>
  </si>
  <si>
    <t>FULL REBUILD (SAME AS EXISTING) FOR WOOD EXTERIOR STAIRWAY (QUANTITY: 2, LOCATION: REAR OF BUILDING).</t>
  </si>
  <si>
    <t>PURPOSE: NEW/REPLACEMENT INSTALLATION. VINYL/PVC FENCE - 6'-0' ' (HEIGHT) X 36'-0' ' (LENGTH). LOCATION: REAR OF THE PROPERTY.</t>
  </si>
  <si>
    <t>SCOPE: ROOF REPLACEMENT. AREA: 2000 SQ. FT. ROOF COVERING: BUILT-UP ROOF. LOCATION: MODIFIED BITUMEN ROOF REPLACEMENT. IL ROOFING CONTRACTOR LICENSE: 104018955.</t>
  </si>
  <si>
    <t>LOW VOLTAGE/COMMUNICATION ELECTRICAL WORK. ALTER EXISTING AUDIO. SPECIFIC LOCATION: LOBBY.</t>
  </si>
  <si>
    <t>LOW VOLTAGE/COMMUNICATION ELECTRICAL WORK. ALTER EXISTING OTHER. SPECIFIC LOCATION: SOUTH WEST SIDE OF HOUSE.</t>
  </si>
  <si>
    <t>INSTALL SOLAR PANELS ON ROOF OF PRINCIPAL BUILDING. ROOF TYPE: SLOPED (2:12 TO 5:12). INVERTER OUTPUT: 9.77 KW. ARRAY OUTPUT: 5.6 KW.  LOCATION: ROOFTOP OF HOME. ICC DISTRIBUTED GENERATION INSTALLER CERT. #13-0674. | SPECIAL CONDITION: * NEC REFERENCES TO BE OMITTED FROM DRAWINGS, ALL GENERAL ELECTRICAL NOTES SHALL REFERENCE CEC 2018. * PLEASE REFER TO SOLAR (ACCESSORY) BUILDING PERMIT B200436397 AND ELECTRICAL PERMIT B200436410.* UNDERGROUND RACEWAY TO BE INSPECTED BY AHJ PRIOR TO COVERING. * ALL EQUIPMENT, CONNECTORS, RACEWAYS, TAPS, MUST BE LISTED AND LABELED FOR USE.</t>
  </si>
  <si>
    <t>INSTALL SOLAR PANELS ON ROOF OF ACCESSORY BUILDING. ROOF TYPE: LOW-SLOPED (&lt;2:12). INVERTER OUTPUT: 9.77 KW. ARRAY OUTPUT: 5.25 KW.  LOCATION: ROOFTOP OF GARAGE. ICC DISTRIBUTED GENERATION INSTALLER CERT. #13-0674. | SPECIAL CONDITION: * NEC REFERENCES TO BE OMITTED FROM DRAWINGS, ALL GENERAL ELECTRICAL NOTES SHALL REFERENCE CEC 2018. * PLEASE REFER TO SOLAR (PRINCIPAL) BUILDING PERMIT B200436392 AND ELECTRICAL PERMIT B200436410.* UNDERGROUND RACEWAY TO BE INSPECTED BY AHJ PRIOR TO COVERING. * ALL EQUIPMENT, CONNECTORS, RACEWAYS, TAPS, MUST BE LISTED AND LABELED FOR USE.</t>
  </si>
  <si>
    <t>SCOPE: ROOF REPLACEMENT. AREA: 2171 SQ. FT. ROOF COVERING: ASPHALT SHINGLES. LOCATION: ROOFING. IL ROOFING CONTRACTOR LICENSE: 104019993.</t>
  </si>
  <si>
    <t>INSTALL SOLAR PANELS ON ROOF OF PRINCIPAL BUILDING. ROOF TYPE: SLOPED (2:12 TO 5:12). INVERTER OUTPUT: 11.5 KW. ARRAY OUTPUT: 15.58 KW.   INCLUDES 13.5 KWH ENERGY STORAGE SYSTEM.  LOCATION: ROOF PLANES ON PRINCIPAL STRUCTURE. ICC DISTRIBUTED GENERATION INSTALLER CERT. #18-0817. | SPECIAL CONDITION: * NEC REFERENCES TO BE OMITTED FROM DRAWINGS, ALL GENERAL ELECTRICAL NOTES SHALL REFERENCE CEC 2018. * PLEASE REFER TO SOLAR (ACCESSORY) BUILDING PERMIT B200436408 AND ELECTRICAL PERMIT B200434886.* UNDERGROUND RACEWAY TO BE INSPECTED BY AHJ PRIOR TO COVERING. * ALL EQUIPMENT, CONNECTORS, RACEWAYS, TAPS, MUST BE LISTED AND LABELED FOR USE.</t>
  </si>
  <si>
    <t>SCOPE: ROOF REPLACEMENT. AREA: 4900 SQ. FT. ROOF COVERING: ASPHALT SHINGLES. LOCATION: ROOF ON THE BUILDING. IL ROOFING CONTRACTOR LICENSE: 104015212.</t>
  </si>
  <si>
    <t>INSTALL SOLAR PANELS ON ROOF OF ACCESSORY BUILDING. ROOF TYPE: SLOPED (2:12 TO 5:12). INVERTER OUTPUT: 11.5 KW. ARRAY OUTPUT: 4.92 KW.   INCLUDES 13.5 KWH ENERGY STORAGE SYSTEM.  LOCATION: ROOF PLANES OF DETACHED STRUCTURE. ICC DISTRIBUTED GENERATION INSTALLER CERT. #18-0817. | SPECIAL CONDITION: * NEC REFERENCES TO BE OMITTED FROM DRAWINGS, ALL GENERAL ELECTRICAL NOTES SHALL REFERENCE CEC 2018. * PLEASE REFER TO SOLAR (PRINCIPAL) BUILDING PERMIT B200436406 AND ELECTRICAL PERMIT B200434886.* UNDERGROUND RACEWAY TO BE INSPECTED BY AHJ PRIOR TO COVERING. * ALL EQUIPMENT, CONNECTORS, RACEWAYS, TAPS, MUST BE LISTED AND LABELED FOR USE.</t>
  </si>
  <si>
    <t>INSTALL SOLAR PANELS ON ROOF OF PRINCIPAL BUILDING. ROOF TYPE: SLOPED (2:12 TO 5:12). INVERTER OUTPUT: 10 KW. ARRAY OUTPUT: 11.48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B200436420.* ALL EQUIPMENT, CONNECTORS, RACEWAYS, TAPS, MUST BE LISTED AND LABELED FOR USE.</t>
  </si>
  <si>
    <t>LINE VOLTAGE ELECTRICAL WORK. REPAIR OR ALTER DEVICES ON EXISTING CIRCUITS. RECEPTACLE OUTLETS: 1 . LIGHTING OUTLETS: 0. ELECTRIC VEHICLE SUPPLY EQUIPMENT:1 SPACES. SPECIFIC LOCATION: EV CHARGER INSIDE GARAGE.</t>
  </si>
  <si>
    <t>INSTALL SOLAR PANELS ON ROOF OF PRINCIPAL BUILDING. ROOF TYPE: SLOPED (2:12 TO 5:12). INVERTER OUTPUT: 11.5 KW. ARRAY OUTPUT: 15.58 KW.   INCLUDES 13.5 KWH ENERGY STORAGE SYSTEM.  LOCATION: ROOF PLANES OF HOME. ICC DISTRIBUTED GENERATION INSTALLER CERT. #18-0817. | SPECIAL CONDITION: * NEC REFERENCES TO BE OMITTED FROM DRAWINGS, ALL GENERAL ELECTRICAL NOTES SHALL REFERENCE CEC 2018. * PLEASE REFER TO ELECTRICAL PERMIT B200434895.* ALL EQUIPMENT, CONNECTORS, RACEWAYS, TAPS, MUST BE LISTED AND LABELED FOR USE.</t>
  </si>
  <si>
    <t>NO PIN FOUND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</si>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</sst>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197</v>
      </c>
      <c r="D2" t="s">
        <v>396</v>
      </c>
      <c r="I2">
        <v>16000</v>
      </c>
      <c r="K2" t="s">
        <v>422</v>
      </c>
      <c r="L2">
        <f>HYPERLINK("https://maps.cookcountyil.gov/cookviewer/?search=3551 N RETA AVE", "3551 N RETA AVE")</f>
        <v>0</v>
      </c>
      <c r="N2" t="s">
        <v>598</v>
      </c>
      <c r="P2" t="s">
        <v>599</v>
      </c>
      <c r="Q2" t="s">
        <v>770</v>
      </c>
      <c r="U2" t="s">
        <v>953</v>
      </c>
      <c r="V2" t="s">
        <v>954</v>
      </c>
    </row>
    <row r="3" spans="1:23">
      <c r="A3">
        <v>2</v>
      </c>
      <c r="B3" t="s">
        <v>24</v>
      </c>
      <c r="C3" t="s">
        <v>198</v>
      </c>
      <c r="D3" t="s">
        <v>396</v>
      </c>
      <c r="I3">
        <v>2400</v>
      </c>
      <c r="K3" t="s">
        <v>423</v>
      </c>
      <c r="L3">
        <f>HYPERLINK("https://maps.cookcountyil.gov/cookviewer/?search=7558 S HERMITAGE AVE", "7558 S HERMITAGE AVE")</f>
        <v>0</v>
      </c>
      <c r="N3" t="s">
        <v>598</v>
      </c>
      <c r="P3" t="s">
        <v>600</v>
      </c>
      <c r="Q3" t="s">
        <v>771</v>
      </c>
      <c r="U3">
        <f>HYPERLINK("https://www.cookcountyassessoril.gov/pin/20304080260000", "20-30-408-026-0000")</f>
        <v>0</v>
      </c>
      <c r="V3" t="s">
        <v>954</v>
      </c>
    </row>
    <row r="4" spans="1:23">
      <c r="A4">
        <v>3</v>
      </c>
      <c r="B4" t="s">
        <v>25</v>
      </c>
      <c r="C4" t="s">
        <v>199</v>
      </c>
      <c r="D4" t="s">
        <v>397</v>
      </c>
      <c r="I4">
        <v>60000</v>
      </c>
      <c r="K4" t="s">
        <v>424</v>
      </c>
      <c r="L4">
        <f>HYPERLINK("https://maps.cookcountyil.gov/cookviewer/?search=3510 N LEAVITT ST", "3510 N LEAVITT ST")</f>
        <v>0</v>
      </c>
      <c r="N4" t="s">
        <v>598</v>
      </c>
      <c r="P4" t="s">
        <v>601</v>
      </c>
      <c r="Q4" t="s">
        <v>772</v>
      </c>
      <c r="U4" t="s">
        <v>953</v>
      </c>
      <c r="V4" t="s">
        <v>955</v>
      </c>
    </row>
    <row r="5" spans="1:23">
      <c r="A5">
        <v>4</v>
      </c>
      <c r="B5" t="s">
        <v>26</v>
      </c>
      <c r="C5" t="s">
        <v>200</v>
      </c>
      <c r="D5" t="s">
        <v>398</v>
      </c>
      <c r="I5">
        <v>5000</v>
      </c>
      <c r="K5" t="s">
        <v>425</v>
      </c>
      <c r="L5">
        <f>HYPERLINK("https://maps.cookcountyil.gov/cookviewer/?search=9310 S BISHOP ST", "9310 S BISHOP ST")</f>
        <v>0</v>
      </c>
      <c r="N5" t="s">
        <v>598</v>
      </c>
      <c r="P5" t="s">
        <v>602</v>
      </c>
      <c r="Q5" t="s">
        <v>773</v>
      </c>
      <c r="U5" t="s">
        <v>953</v>
      </c>
      <c r="V5" t="s">
        <v>954</v>
      </c>
    </row>
    <row r="6" spans="1:23">
      <c r="A6">
        <v>5</v>
      </c>
      <c r="B6" t="s">
        <v>27</v>
      </c>
      <c r="C6" t="s">
        <v>201</v>
      </c>
      <c r="D6" t="s">
        <v>396</v>
      </c>
      <c r="I6">
        <v>16575</v>
      </c>
      <c r="K6" t="s">
        <v>426</v>
      </c>
      <c r="L6">
        <f>HYPERLINK("https://maps.cookcountyil.gov/cookviewer/?search=1950 W CERMAK RD", "1950 W CERMAK RD")</f>
        <v>0</v>
      </c>
      <c r="N6" t="s">
        <v>598</v>
      </c>
      <c r="P6" t="s">
        <v>603</v>
      </c>
      <c r="Q6" t="s">
        <v>774</v>
      </c>
      <c r="U6">
        <f>HYPERLINK("https://www.cookcountyassessoril.gov/pin/17194260280000", "17-19-426-028-0000")</f>
        <v>0</v>
      </c>
      <c r="V6" t="s">
        <v>954</v>
      </c>
    </row>
    <row r="7" spans="1:23">
      <c r="A7">
        <v>6</v>
      </c>
      <c r="B7" t="s">
        <v>28</v>
      </c>
      <c r="C7" t="s">
        <v>202</v>
      </c>
      <c r="D7" t="s">
        <v>399</v>
      </c>
      <c r="I7">
        <v>10000</v>
      </c>
      <c r="K7" t="s">
        <v>427</v>
      </c>
      <c r="L7">
        <f>HYPERLINK("https://maps.cookcountyil.gov/cookviewer/?search=7318 S ABERDEEN ST", "7318 S ABERDEEN ST")</f>
        <v>0</v>
      </c>
      <c r="N7" t="s">
        <v>598</v>
      </c>
      <c r="P7" t="s">
        <v>604</v>
      </c>
      <c r="Q7" t="s">
        <v>775</v>
      </c>
      <c r="U7">
        <f>HYPERLINK("https://www.cookcountyassessoril.gov/pin/20292170320000", "20-29-217-032-0000")</f>
        <v>0</v>
      </c>
      <c r="V7" t="s">
        <v>954</v>
      </c>
    </row>
    <row r="8" spans="1:23">
      <c r="A8">
        <v>7</v>
      </c>
      <c r="B8" t="s">
        <v>29</v>
      </c>
      <c r="C8" t="s">
        <v>203</v>
      </c>
      <c r="D8" t="s">
        <v>400</v>
      </c>
      <c r="I8">
        <v>8200</v>
      </c>
      <c r="K8" t="s">
        <v>428</v>
      </c>
      <c r="L8">
        <f>HYPERLINK("https://maps.cookcountyil.gov/cookviewer/?search=320 W ILLINOIS ST", "320 W ILLINOIS ST")</f>
        <v>0</v>
      </c>
      <c r="N8" t="s">
        <v>598</v>
      </c>
      <c r="P8" t="s">
        <v>605</v>
      </c>
      <c r="Q8" t="s">
        <v>776</v>
      </c>
      <c r="U8">
        <f>HYPERLINK("https://www.cookcountyassessoril.gov/pin/17092430220000", "17-09-243-022-0000")</f>
        <v>0</v>
      </c>
      <c r="V8" t="s">
        <v>954</v>
      </c>
    </row>
    <row r="9" spans="1:23">
      <c r="A9">
        <v>8</v>
      </c>
      <c r="B9" t="s">
        <v>30</v>
      </c>
      <c r="C9" t="s">
        <v>204</v>
      </c>
      <c r="D9" t="s">
        <v>401</v>
      </c>
      <c r="I9">
        <v>3500</v>
      </c>
      <c r="K9" t="s">
        <v>429</v>
      </c>
      <c r="L9">
        <f>HYPERLINK("https://maps.cookcountyil.gov/cookviewer/?search=7614 S PARNELL AVE", "7614 S PARNELL AVE")</f>
        <v>0</v>
      </c>
      <c r="N9" t="s">
        <v>598</v>
      </c>
      <c r="P9" t="s">
        <v>606</v>
      </c>
      <c r="Q9" t="s">
        <v>777</v>
      </c>
      <c r="U9">
        <f>HYPERLINK("https://www.cookcountyassessoril.gov/pin/20283350020000", "20-28-335-002-0000")</f>
        <v>0</v>
      </c>
      <c r="V9" t="s">
        <v>954</v>
      </c>
    </row>
    <row r="10" spans="1:23">
      <c r="A10">
        <v>9</v>
      </c>
      <c r="B10" t="s">
        <v>31</v>
      </c>
      <c r="C10" t="s">
        <v>205</v>
      </c>
      <c r="D10" t="s">
        <v>396</v>
      </c>
      <c r="I10">
        <v>100</v>
      </c>
      <c r="K10" t="s">
        <v>430</v>
      </c>
      <c r="L10">
        <f>HYPERLINK("https://maps.cookcountyil.gov/cookviewer/?search=8857 S MERRILL AVE", "8857 S MERRILL AVE")</f>
        <v>0</v>
      </c>
      <c r="N10" t="s">
        <v>598</v>
      </c>
      <c r="P10" t="s">
        <v>607</v>
      </c>
      <c r="Q10" t="s">
        <v>778</v>
      </c>
      <c r="U10">
        <f>HYPERLINK("https://www.cookcountyassessoril.gov/pin/25012110200000", "25-01-211-020-0000")</f>
        <v>0</v>
      </c>
      <c r="V10" t="s">
        <v>954</v>
      </c>
    </row>
    <row r="11" spans="1:23">
      <c r="A11">
        <v>10</v>
      </c>
      <c r="B11" t="s">
        <v>32</v>
      </c>
      <c r="C11" t="s">
        <v>206</v>
      </c>
      <c r="D11" t="s">
        <v>399</v>
      </c>
      <c r="I11">
        <v>690000</v>
      </c>
      <c r="K11" t="s">
        <v>431</v>
      </c>
      <c r="L11">
        <f>HYPERLINK("https://maps.cookcountyil.gov/cookviewer/?search=10000 W OHARE ST", "10000 W OHARE ST")</f>
        <v>0</v>
      </c>
      <c r="N11" t="s">
        <v>598</v>
      </c>
      <c r="P11" t="s">
        <v>608</v>
      </c>
      <c r="Q11" t="s">
        <v>779</v>
      </c>
      <c r="U11" t="s">
        <v>953</v>
      </c>
      <c r="V11" t="s">
        <v>954</v>
      </c>
    </row>
    <row r="12" spans="1:23">
      <c r="A12">
        <v>11</v>
      </c>
      <c r="B12" t="s">
        <v>33</v>
      </c>
      <c r="C12" t="s">
        <v>207</v>
      </c>
      <c r="D12" t="s">
        <v>402</v>
      </c>
      <c r="I12">
        <v>6000</v>
      </c>
      <c r="K12" t="s">
        <v>432</v>
      </c>
      <c r="L12">
        <f>HYPERLINK("https://maps.cookcountyil.gov/cookviewer/?search=1527 W PRATT BLVD", "1527 W PRATT BLVD")</f>
        <v>0</v>
      </c>
      <c r="N12" t="s">
        <v>598</v>
      </c>
      <c r="P12" t="s">
        <v>609</v>
      </c>
      <c r="Q12" t="s">
        <v>780</v>
      </c>
      <c r="U12" t="s">
        <v>953</v>
      </c>
      <c r="V12" t="s">
        <v>954</v>
      </c>
    </row>
    <row r="13" spans="1:23">
      <c r="A13">
        <v>12</v>
      </c>
      <c r="B13" t="s">
        <v>34</v>
      </c>
      <c r="C13" t="s">
        <v>208</v>
      </c>
      <c r="D13" t="s">
        <v>403</v>
      </c>
      <c r="I13">
        <v>31295</v>
      </c>
      <c r="K13" t="s">
        <v>433</v>
      </c>
      <c r="L13">
        <f>HYPERLINK("https://maps.cookcountyil.gov/cookviewer/?search=11305 S VINCENNES AVE", "11305 S VINCENNES AVE")</f>
        <v>0</v>
      </c>
      <c r="N13" t="s">
        <v>598</v>
      </c>
      <c r="P13" t="s">
        <v>610</v>
      </c>
      <c r="Q13" t="s">
        <v>781</v>
      </c>
      <c r="U13">
        <f>HYPERLINK("https://www.cookcountyassessoril.gov/pin/25192180020000", "25-19-218-002-0000")</f>
        <v>0</v>
      </c>
      <c r="V13" t="s">
        <v>955</v>
      </c>
    </row>
    <row r="14" spans="1:23">
      <c r="A14">
        <v>13</v>
      </c>
      <c r="B14" t="s">
        <v>35</v>
      </c>
      <c r="C14" t="s">
        <v>209</v>
      </c>
      <c r="D14" t="s">
        <v>404</v>
      </c>
      <c r="I14">
        <v>30000</v>
      </c>
      <c r="K14" t="s">
        <v>434</v>
      </c>
      <c r="L14">
        <f>HYPERLINK("https://maps.cookcountyil.gov/cookviewer/?search=541 N FAIRBANKS CT", "541 N FAIRBANKS CT")</f>
        <v>0</v>
      </c>
      <c r="N14" t="s">
        <v>598</v>
      </c>
      <c r="P14" t="s">
        <v>611</v>
      </c>
      <c r="Q14" t="s">
        <v>782</v>
      </c>
      <c r="U14">
        <f>HYPERLINK("https://www.cookcountyassessoril.gov/pin/17102100270000", "17-10-210-027-0000"), =HYPERLINK("https://www.cookcountyassessoril.gov/pin/17102100260000", "17-10-210-026-0000")</f>
        <v>0</v>
      </c>
      <c r="V14" t="s">
        <v>954</v>
      </c>
    </row>
    <row r="15" spans="1:23">
      <c r="A15">
        <v>14</v>
      </c>
      <c r="B15" t="s">
        <v>30</v>
      </c>
      <c r="C15" t="s">
        <v>210</v>
      </c>
      <c r="D15" t="s">
        <v>401</v>
      </c>
      <c r="I15">
        <v>3500</v>
      </c>
      <c r="K15" t="s">
        <v>435</v>
      </c>
      <c r="L15">
        <f>HYPERLINK("https://maps.cookcountyil.gov/cookviewer/?search=7616 S PARNELL AVE", "7616 S PARNELL AVE")</f>
        <v>0</v>
      </c>
      <c r="N15" t="s">
        <v>598</v>
      </c>
      <c r="P15" t="s">
        <v>606</v>
      </c>
      <c r="Q15" t="s">
        <v>783</v>
      </c>
      <c r="U15" t="s">
        <v>953</v>
      </c>
      <c r="V15" t="s">
        <v>954</v>
      </c>
    </row>
    <row r="16" spans="1:23">
      <c r="A16">
        <v>15</v>
      </c>
      <c r="B16" t="s">
        <v>36</v>
      </c>
      <c r="C16" t="s">
        <v>211</v>
      </c>
      <c r="D16" t="s">
        <v>396</v>
      </c>
      <c r="I16">
        <v>30400</v>
      </c>
      <c r="K16" t="s">
        <v>436</v>
      </c>
      <c r="L16">
        <f>HYPERLINK("https://maps.cookcountyil.gov/cookviewer/?search=2727 S WHIPPLE ST", "2727 S WHIPPLE ST")</f>
        <v>0</v>
      </c>
      <c r="N16" t="s">
        <v>598</v>
      </c>
      <c r="P16" t="s">
        <v>612</v>
      </c>
      <c r="Q16" t="s">
        <v>784</v>
      </c>
      <c r="U16">
        <f>HYPERLINK("https://www.cookcountyassessoril.gov/pin/16253050120000", "16-25-305-012-0000")</f>
        <v>0</v>
      </c>
      <c r="V16" t="s">
        <v>955</v>
      </c>
    </row>
    <row r="17" spans="1:22">
      <c r="A17">
        <v>16</v>
      </c>
      <c r="B17" t="s">
        <v>37</v>
      </c>
      <c r="C17" t="s">
        <v>212</v>
      </c>
      <c r="D17" t="s">
        <v>405</v>
      </c>
      <c r="I17">
        <v>30000</v>
      </c>
      <c r="K17" t="s">
        <v>437</v>
      </c>
      <c r="L17">
        <f>HYPERLINK("https://maps.cookcountyil.gov/cookviewer/?search=24 E WASHINGTON ST", "24 E WASHINGTON ST")</f>
        <v>0</v>
      </c>
      <c r="N17" t="s">
        <v>598</v>
      </c>
      <c r="P17" t="s">
        <v>613</v>
      </c>
      <c r="Q17" t="s">
        <v>785</v>
      </c>
      <c r="U17">
        <f>HYPERLINK("https://www.cookcountyassessoril.gov/pin/17103080430000", "17-10-308-043-0000"), =HYPERLINK("https://www.cookcountyassessoril.gov/pin/17103080420000", "17-10-308-042-0000"), =HYPERLINK("https://www.cookcountyassessoril.gov/pin/17103080410000", "17-10-308-041-0000"), =HYPERLINK("https://www.cookcountyassessoril.gov/pin/17103080460000", "17-10-308-046-0000"), =HYPERLINK("https://www.cookcountyassessoril.gov/pin/17103080450000", "17-10-308-045-0000"), =HYPERLINK("https://www.cookcountyassessoril.gov/pin/17103080390000", "17-10-308-039-0000"), =HYPERLINK("https://www.cookcountyassessoril.gov/pin/17103080480000", "17-10-308-048-0000"), =HYPERLINK("https://www.cookcountyassessoril.gov/pin/17103080500000", "17-10-308-050-0000"), =HYPERLINK("https://www.cookcountyassessoril.gov/pin/17103080470000", "17-10-308-047-0000"), =HYPERLINK("https://www.cookcountyassessoril.gov/pin/17103080490000", "17-10-308-049-0000"), =HYPERLINK("https://www.cookcountyassessoril.gov/pin/17103080440000", "17-10-308-044-0000"), =HYPERLINK("https://www.cookcountyassessoril.gov/pin/17103080380000", "17-10-308-038-0000"), =HYPERLINK("https://www.cookcountyassessoril.gov/pin/17103080400000", "17-10-308-040-0000")</f>
        <v>0</v>
      </c>
      <c r="V17" t="s">
        <v>955</v>
      </c>
    </row>
    <row r="18" spans="1:22">
      <c r="A18">
        <v>17</v>
      </c>
      <c r="B18" t="s">
        <v>38</v>
      </c>
      <c r="C18" t="s">
        <v>213</v>
      </c>
      <c r="D18" t="s">
        <v>406</v>
      </c>
      <c r="I18">
        <v>15660</v>
      </c>
      <c r="K18" t="s">
        <v>438</v>
      </c>
      <c r="L18">
        <f>HYPERLINK("https://maps.cookcountyil.gov/cookviewer/?search=9325 S DAMEN AVE", "9325 S DAMEN AVE")</f>
        <v>0</v>
      </c>
      <c r="N18" t="s">
        <v>598</v>
      </c>
      <c r="P18" t="s">
        <v>614</v>
      </c>
      <c r="Q18" t="s">
        <v>786</v>
      </c>
      <c r="U18">
        <f>HYPERLINK("https://www.cookcountyassessoril.gov/pin/25064130040000", "25-06-413-004-0000")</f>
        <v>0</v>
      </c>
      <c r="V18" t="s">
        <v>954</v>
      </c>
    </row>
    <row r="19" spans="1:22">
      <c r="A19">
        <v>18</v>
      </c>
      <c r="B19" t="s">
        <v>39</v>
      </c>
      <c r="C19" t="s">
        <v>214</v>
      </c>
      <c r="D19" t="s">
        <v>401</v>
      </c>
      <c r="I19">
        <v>3500</v>
      </c>
      <c r="K19" t="s">
        <v>439</v>
      </c>
      <c r="L19">
        <f>HYPERLINK("https://maps.cookcountyil.gov/cookviewer/?search=7624 S PARNELL AVE", "7624 S PARNELL AVE")</f>
        <v>0</v>
      </c>
      <c r="N19" t="s">
        <v>598</v>
      </c>
      <c r="P19" t="s">
        <v>606</v>
      </c>
      <c r="Q19" t="s">
        <v>787</v>
      </c>
      <c r="U19">
        <f>HYPERLINK("https://www.cookcountyassessoril.gov/pin/20283350050000", "20-28-335-005-0000")</f>
        <v>0</v>
      </c>
      <c r="V19" t="s">
        <v>954</v>
      </c>
    </row>
    <row r="20" spans="1:22">
      <c r="A20">
        <v>19</v>
      </c>
      <c r="B20" t="s">
        <v>40</v>
      </c>
      <c r="C20" t="s">
        <v>215</v>
      </c>
      <c r="D20" t="s">
        <v>399</v>
      </c>
      <c r="I20">
        <v>10000</v>
      </c>
      <c r="K20" t="s">
        <v>440</v>
      </c>
      <c r="L20">
        <f>HYPERLINK("https://maps.cookcountyil.gov/cookviewer/?search=3400 N HALSTED ST", "3400 N HALSTED ST")</f>
        <v>0</v>
      </c>
      <c r="N20" t="s">
        <v>598</v>
      </c>
      <c r="P20" t="s">
        <v>615</v>
      </c>
      <c r="Q20" t="s">
        <v>788</v>
      </c>
      <c r="U20">
        <f>HYPERLINK("https://www.cookcountyassessoril.gov/pin/14204130780000", "14-20-413-078-0000")</f>
        <v>0</v>
      </c>
      <c r="V20" t="s">
        <v>954</v>
      </c>
    </row>
    <row r="21" spans="1:22">
      <c r="A21">
        <v>20</v>
      </c>
      <c r="B21" t="s">
        <v>41</v>
      </c>
      <c r="C21" t="s">
        <v>216</v>
      </c>
      <c r="D21" t="s">
        <v>396</v>
      </c>
      <c r="I21">
        <v>46691</v>
      </c>
      <c r="K21" t="s">
        <v>441</v>
      </c>
      <c r="L21">
        <f>HYPERLINK("https://maps.cookcountyil.gov/cookviewer/?search=3936 N CLAREMONT AVE", "3936 N CLAREMONT AVE")</f>
        <v>0</v>
      </c>
      <c r="N21" t="s">
        <v>598</v>
      </c>
      <c r="P21" t="s">
        <v>616</v>
      </c>
      <c r="Q21" t="s">
        <v>789</v>
      </c>
      <c r="U21">
        <f>HYPERLINK("https://www.cookcountyassessoril.gov/pin/14191000150000", "14-19-100-015-0000")</f>
        <v>0</v>
      </c>
      <c r="V21" t="s">
        <v>955</v>
      </c>
    </row>
    <row r="22" spans="1:22">
      <c r="A22">
        <v>21</v>
      </c>
      <c r="B22" t="s">
        <v>39</v>
      </c>
      <c r="C22" t="s">
        <v>217</v>
      </c>
      <c r="D22" t="s">
        <v>401</v>
      </c>
      <c r="I22">
        <v>3500</v>
      </c>
      <c r="K22" t="s">
        <v>442</v>
      </c>
      <c r="L22">
        <f>HYPERLINK("https://maps.cookcountyil.gov/cookviewer/?search=7626 S PARNELL AVE", "7626 S PARNELL AVE")</f>
        <v>0</v>
      </c>
      <c r="N22" t="s">
        <v>598</v>
      </c>
      <c r="P22" t="s">
        <v>606</v>
      </c>
      <c r="Q22" t="s">
        <v>790</v>
      </c>
      <c r="U22" t="s">
        <v>953</v>
      </c>
      <c r="V22" t="s">
        <v>954</v>
      </c>
    </row>
    <row r="23" spans="1:22">
      <c r="A23">
        <v>22</v>
      </c>
      <c r="B23" t="s">
        <v>42</v>
      </c>
      <c r="C23" t="s">
        <v>218</v>
      </c>
      <c r="D23" t="s">
        <v>396</v>
      </c>
      <c r="I23">
        <v>21619</v>
      </c>
      <c r="K23" t="s">
        <v>443</v>
      </c>
      <c r="L23">
        <f>HYPERLINK("https://maps.cookcountyil.gov/cookviewer/?search=5208 S LAFLIN ST", "5208 S LAFLIN ST")</f>
        <v>0</v>
      </c>
      <c r="N23" t="s">
        <v>598</v>
      </c>
      <c r="P23" t="s">
        <v>617</v>
      </c>
      <c r="Q23" t="s">
        <v>791</v>
      </c>
      <c r="U23">
        <f>HYPERLINK("https://www.cookcountyassessoril.gov/pin/20083090250000", "20-08-309-025-0000")</f>
        <v>0</v>
      </c>
      <c r="V23" t="s">
        <v>954</v>
      </c>
    </row>
    <row r="24" spans="1:22">
      <c r="A24">
        <v>23</v>
      </c>
      <c r="B24" t="s">
        <v>43</v>
      </c>
      <c r="C24" t="s">
        <v>219</v>
      </c>
      <c r="D24" t="s">
        <v>399</v>
      </c>
      <c r="I24">
        <v>1750</v>
      </c>
      <c r="K24" t="s">
        <v>444</v>
      </c>
      <c r="L24">
        <f>HYPERLINK("https://maps.cookcountyil.gov/cookviewer/?search=450 W BRIAR PL", "450 W BRIAR PL")</f>
        <v>0</v>
      </c>
      <c r="N24" t="s">
        <v>598</v>
      </c>
      <c r="P24" t="s">
        <v>618</v>
      </c>
      <c r="Q24" t="s">
        <v>792</v>
      </c>
      <c r="U24" t="s">
        <v>953</v>
      </c>
      <c r="V24" t="s">
        <v>954</v>
      </c>
    </row>
    <row r="25" spans="1:22">
      <c r="A25">
        <v>24</v>
      </c>
      <c r="B25" t="s">
        <v>44</v>
      </c>
      <c r="C25" t="s">
        <v>220</v>
      </c>
      <c r="D25" t="s">
        <v>398</v>
      </c>
      <c r="I25">
        <v>10000</v>
      </c>
      <c r="K25" t="s">
        <v>445</v>
      </c>
      <c r="L25">
        <f>HYPERLINK("https://maps.cookcountyil.gov/cookviewer/?search=616 W 24TH PL", "616 W 24TH PL")</f>
        <v>0</v>
      </c>
      <c r="N25" t="s">
        <v>598</v>
      </c>
      <c r="P25" t="s">
        <v>619</v>
      </c>
      <c r="Q25" t="s">
        <v>793</v>
      </c>
      <c r="U25" t="s">
        <v>953</v>
      </c>
      <c r="V25" t="s">
        <v>954</v>
      </c>
    </row>
    <row r="26" spans="1:22">
      <c r="A26">
        <v>25</v>
      </c>
      <c r="B26" t="s">
        <v>45</v>
      </c>
      <c r="C26" t="s">
        <v>221</v>
      </c>
      <c r="D26" t="s">
        <v>396</v>
      </c>
      <c r="I26">
        <v>27501</v>
      </c>
      <c r="K26" t="s">
        <v>446</v>
      </c>
      <c r="L26">
        <f>HYPERLINK("https://maps.cookcountyil.gov/cookviewer/?search=4947 N AVERS AVE", "4947 N AVERS AVE")</f>
        <v>0</v>
      </c>
      <c r="N26" t="s">
        <v>598</v>
      </c>
      <c r="P26" t="s">
        <v>620</v>
      </c>
      <c r="Q26" t="s">
        <v>794</v>
      </c>
      <c r="U26">
        <f>HYPERLINK("https://www.cookcountyassessoril.gov/pin/13113160040000", "13-11-316-004-0000")</f>
        <v>0</v>
      </c>
      <c r="V26" t="s">
        <v>955</v>
      </c>
    </row>
    <row r="27" spans="1:22">
      <c r="A27">
        <v>26</v>
      </c>
      <c r="B27" t="s">
        <v>46</v>
      </c>
      <c r="C27" t="s">
        <v>222</v>
      </c>
      <c r="D27" t="s">
        <v>407</v>
      </c>
      <c r="I27">
        <v>5950</v>
      </c>
      <c r="K27" t="s">
        <v>447</v>
      </c>
      <c r="L27">
        <f>HYPERLINK("https://maps.cookcountyil.gov/cookviewer/?search=5037 W CULLOM AVE", "5037 W CULLOM AVE")</f>
        <v>0</v>
      </c>
      <c r="N27" t="s">
        <v>598</v>
      </c>
      <c r="P27" t="s">
        <v>621</v>
      </c>
      <c r="Q27" t="s">
        <v>795</v>
      </c>
      <c r="U27" t="s">
        <v>953</v>
      </c>
      <c r="V27" t="s">
        <v>954</v>
      </c>
    </row>
    <row r="28" spans="1:22">
      <c r="A28">
        <v>27</v>
      </c>
      <c r="B28" t="s">
        <v>47</v>
      </c>
      <c r="C28" t="s">
        <v>223</v>
      </c>
      <c r="D28" t="s">
        <v>399</v>
      </c>
      <c r="I28">
        <v>7500</v>
      </c>
      <c r="K28" t="s">
        <v>448</v>
      </c>
      <c r="L28">
        <f>HYPERLINK("https://maps.cookcountyil.gov/cookviewer/?search=1731 W ALBION AVE", "1731 W ALBION AVE")</f>
        <v>0</v>
      </c>
      <c r="N28" t="s">
        <v>598</v>
      </c>
      <c r="P28" t="s">
        <v>622</v>
      </c>
      <c r="Q28" t="s">
        <v>796</v>
      </c>
      <c r="U28">
        <f>HYPERLINK("https://www.cookcountyassessoril.gov/pin/11314140130000", "11-31-414-013-0000")</f>
        <v>0</v>
      </c>
      <c r="V28" t="s">
        <v>954</v>
      </c>
    </row>
    <row r="29" spans="1:22">
      <c r="A29">
        <v>28</v>
      </c>
      <c r="B29" t="s">
        <v>48</v>
      </c>
      <c r="C29" t="s">
        <v>224</v>
      </c>
      <c r="D29" t="s">
        <v>399</v>
      </c>
      <c r="I29">
        <v>5188</v>
      </c>
      <c r="K29" t="s">
        <v>449</v>
      </c>
      <c r="L29">
        <f>HYPERLINK("https://maps.cookcountyil.gov/cookviewer/?search=6128 N MASON AVE", "6128 N MASON AVE")</f>
        <v>0</v>
      </c>
      <c r="N29" t="s">
        <v>598</v>
      </c>
      <c r="P29" t="s">
        <v>623</v>
      </c>
      <c r="Q29" t="s">
        <v>797</v>
      </c>
      <c r="U29">
        <f>HYPERLINK("https://www.cookcountyassessoril.gov/pin/13052080160000", "13-05-208-016-0000")</f>
        <v>0</v>
      </c>
      <c r="V29" t="s">
        <v>954</v>
      </c>
    </row>
    <row r="30" spans="1:22">
      <c r="A30">
        <v>29</v>
      </c>
      <c r="B30" t="s">
        <v>49</v>
      </c>
      <c r="C30" t="s">
        <v>225</v>
      </c>
      <c r="D30" t="s">
        <v>408</v>
      </c>
      <c r="I30">
        <v>12000</v>
      </c>
      <c r="K30" t="s">
        <v>450</v>
      </c>
      <c r="L30">
        <f>HYPERLINK("https://maps.cookcountyil.gov/cookviewer/?search=4013 W ARMITAGE AVE", "4013 W ARMITAGE AVE")</f>
        <v>0</v>
      </c>
      <c r="N30" t="s">
        <v>598</v>
      </c>
      <c r="P30" t="s">
        <v>624</v>
      </c>
      <c r="Q30" t="s">
        <v>798</v>
      </c>
      <c r="U30" t="s">
        <v>953</v>
      </c>
      <c r="V30" t="s">
        <v>954</v>
      </c>
    </row>
    <row r="31" spans="1:22">
      <c r="A31">
        <v>30</v>
      </c>
      <c r="B31" t="s">
        <v>50</v>
      </c>
      <c r="C31" t="s">
        <v>226</v>
      </c>
      <c r="D31" t="s">
        <v>396</v>
      </c>
      <c r="I31">
        <v>19675</v>
      </c>
      <c r="K31" t="s">
        <v>451</v>
      </c>
      <c r="L31">
        <f>HYPERLINK("https://maps.cookcountyil.gov/cookviewer/?search=2811 W JACKSON BLVD", "2811 W JACKSON BLVD")</f>
        <v>0</v>
      </c>
      <c r="N31" t="s">
        <v>598</v>
      </c>
      <c r="P31" t="s">
        <v>625</v>
      </c>
      <c r="Q31" t="s">
        <v>799</v>
      </c>
      <c r="U31">
        <f>HYPERLINK("https://www.cookcountyassessoril.gov/pin/16131240060000", "16-13-124-006-0000")</f>
        <v>0</v>
      </c>
      <c r="V31" t="s">
        <v>955</v>
      </c>
    </row>
    <row r="32" spans="1:22">
      <c r="A32">
        <v>31</v>
      </c>
      <c r="B32" t="s">
        <v>51</v>
      </c>
      <c r="C32" t="s">
        <v>227</v>
      </c>
      <c r="D32" t="s">
        <v>409</v>
      </c>
      <c r="I32">
        <v>5200</v>
      </c>
      <c r="K32" t="s">
        <v>452</v>
      </c>
      <c r="L32">
        <f>HYPERLINK("https://maps.cookcountyil.gov/cookviewer/?search=4322 N MOZART ST", "4322 N MOZART ST")</f>
        <v>0</v>
      </c>
      <c r="N32" t="s">
        <v>598</v>
      </c>
      <c r="P32" t="s">
        <v>626</v>
      </c>
      <c r="Q32" t="s">
        <v>800</v>
      </c>
      <c r="U32">
        <f>HYPERLINK("https://www.cookcountyassessoril.gov/pin/13133060250000", "13-13-306-025-0000")</f>
        <v>0</v>
      </c>
      <c r="V32" t="s">
        <v>954</v>
      </c>
    </row>
    <row r="33" spans="1:22">
      <c r="A33">
        <v>32</v>
      </c>
      <c r="B33" t="s">
        <v>52</v>
      </c>
      <c r="C33" t="s">
        <v>228</v>
      </c>
      <c r="D33" t="s">
        <v>396</v>
      </c>
      <c r="I33">
        <v>4301</v>
      </c>
      <c r="K33" t="s">
        <v>453</v>
      </c>
      <c r="L33">
        <f>HYPERLINK("https://maps.cookcountyil.gov/cookviewer/?search=4939 S MAPLEWOOD AVE", "4939 S MAPLEWOOD AVE")</f>
        <v>0</v>
      </c>
      <c r="N33" t="s">
        <v>598</v>
      </c>
      <c r="P33" t="s">
        <v>627</v>
      </c>
      <c r="Q33" t="s">
        <v>801</v>
      </c>
      <c r="U33">
        <f>HYPERLINK("https://www.cookcountyassessoril.gov/pin/19122140390000", "19-12-214-039-0000")</f>
        <v>0</v>
      </c>
      <c r="V33" t="s">
        <v>954</v>
      </c>
    </row>
    <row r="34" spans="1:22">
      <c r="A34">
        <v>33</v>
      </c>
      <c r="B34" t="s">
        <v>53</v>
      </c>
      <c r="C34" t="s">
        <v>229</v>
      </c>
      <c r="D34" t="s">
        <v>396</v>
      </c>
      <c r="I34">
        <v>4000</v>
      </c>
      <c r="K34" t="s">
        <v>454</v>
      </c>
      <c r="L34">
        <f>HYPERLINK("https://maps.cookcountyil.gov/cookviewer/?search=3125 N SPRINGFIELD AVE", "3125 N SPRINGFIELD AVE")</f>
        <v>0</v>
      </c>
      <c r="N34" t="s">
        <v>598</v>
      </c>
      <c r="P34" t="s">
        <v>628</v>
      </c>
      <c r="Q34" t="s">
        <v>802</v>
      </c>
      <c r="U34">
        <f>HYPERLINK("https://www.cookcountyassessoril.gov/pin/13261020200000", "13-26-102-020-0000")</f>
        <v>0</v>
      </c>
      <c r="V34" t="s">
        <v>954</v>
      </c>
    </row>
    <row r="35" spans="1:22">
      <c r="A35">
        <v>34</v>
      </c>
      <c r="B35" t="s">
        <v>54</v>
      </c>
      <c r="C35" t="s">
        <v>230</v>
      </c>
      <c r="D35" t="s">
        <v>409</v>
      </c>
      <c r="I35">
        <v>19000</v>
      </c>
      <c r="K35" t="s">
        <v>455</v>
      </c>
      <c r="L35">
        <f>HYPERLINK("https://maps.cookcountyil.gov/cookviewer/?search=8042 S NORMAL AVE", "8042 S NORMAL AVE")</f>
        <v>0</v>
      </c>
      <c r="N35" t="s">
        <v>598</v>
      </c>
      <c r="P35" t="s">
        <v>629</v>
      </c>
      <c r="Q35" t="s">
        <v>803</v>
      </c>
      <c r="U35">
        <f>HYPERLINK("https://www.cookcountyassessoril.gov/pin/20331120320000", "20-33-112-032-0000")</f>
        <v>0</v>
      </c>
      <c r="V35" t="s">
        <v>954</v>
      </c>
    </row>
    <row r="36" spans="1:22">
      <c r="A36">
        <v>35</v>
      </c>
      <c r="B36" t="s">
        <v>55</v>
      </c>
      <c r="C36" t="s">
        <v>231</v>
      </c>
      <c r="D36" t="s">
        <v>396</v>
      </c>
      <c r="I36">
        <v>14800</v>
      </c>
      <c r="K36" t="s">
        <v>456</v>
      </c>
      <c r="L36">
        <f>HYPERLINK("https://maps.cookcountyil.gov/cookviewer/?search=7335 S STEWART AVE", "7335 S STEWART AVE")</f>
        <v>0</v>
      </c>
      <c r="N36" t="s">
        <v>598</v>
      </c>
      <c r="P36" t="s">
        <v>630</v>
      </c>
      <c r="Q36" t="s">
        <v>804</v>
      </c>
      <c r="U36">
        <f>HYPERLINK("https://www.cookcountyassessoril.gov/pin/20282160090000", "20-28-216-009-0000")</f>
        <v>0</v>
      </c>
      <c r="V36" t="s">
        <v>954</v>
      </c>
    </row>
    <row r="37" spans="1:22">
      <c r="A37">
        <v>36</v>
      </c>
      <c r="B37" t="s">
        <v>56</v>
      </c>
      <c r="C37" t="s">
        <v>232</v>
      </c>
      <c r="D37" t="s">
        <v>400</v>
      </c>
      <c r="I37">
        <v>4000</v>
      </c>
      <c r="K37" t="s">
        <v>457</v>
      </c>
      <c r="L37">
        <f>HYPERLINK("https://maps.cookcountyil.gov/cookviewer/?search=600 N WABASH AVE", "600 N WABASH AVE")</f>
        <v>0</v>
      </c>
      <c r="N37" t="s">
        <v>598</v>
      </c>
      <c r="P37" t="s">
        <v>631</v>
      </c>
      <c r="Q37" t="s">
        <v>805</v>
      </c>
      <c r="U37">
        <f>HYPERLINK("https://www.cookcountyassessoril.gov/pin/17101150030000", "17-10-115-003-0000")</f>
        <v>0</v>
      </c>
      <c r="V37" t="s">
        <v>954</v>
      </c>
    </row>
    <row r="38" spans="1:22">
      <c r="A38">
        <v>37</v>
      </c>
      <c r="B38" t="s">
        <v>57</v>
      </c>
      <c r="C38" t="s">
        <v>233</v>
      </c>
      <c r="D38" t="s">
        <v>407</v>
      </c>
      <c r="I38">
        <v>6500</v>
      </c>
      <c r="K38" t="s">
        <v>458</v>
      </c>
      <c r="L38">
        <f>HYPERLINK("https://maps.cookcountyil.gov/cookviewer/?search=1426 S FEDERAL ST", "1426 S FEDERAL ST")</f>
        <v>0</v>
      </c>
      <c r="N38" t="s">
        <v>598</v>
      </c>
      <c r="P38" t="s">
        <v>632</v>
      </c>
      <c r="Q38" t="s">
        <v>806</v>
      </c>
      <c r="U38" t="s">
        <v>953</v>
      </c>
      <c r="V38" t="s">
        <v>954</v>
      </c>
    </row>
    <row r="39" spans="1:22">
      <c r="A39">
        <v>38</v>
      </c>
      <c r="B39" t="s">
        <v>58</v>
      </c>
      <c r="C39" t="s">
        <v>234</v>
      </c>
      <c r="D39" t="s">
        <v>410</v>
      </c>
      <c r="I39">
        <v>6435</v>
      </c>
      <c r="K39" t="s">
        <v>459</v>
      </c>
      <c r="L39">
        <f>HYPERLINK("https://maps.cookcountyil.gov/cookviewer/?search=910 E 40TH ST", "910 E 40TH ST")</f>
        <v>0</v>
      </c>
      <c r="N39" t="s">
        <v>598</v>
      </c>
      <c r="P39" t="s">
        <v>633</v>
      </c>
      <c r="Q39" t="s">
        <v>807</v>
      </c>
      <c r="U39">
        <f>HYPERLINK("https://www.cookcountyassessoril.gov/pin/20021030490000", "20-02-103-049-0000")</f>
        <v>0</v>
      </c>
      <c r="V39" t="s">
        <v>955</v>
      </c>
    </row>
    <row r="40" spans="1:22">
      <c r="A40">
        <v>39</v>
      </c>
      <c r="B40" t="s">
        <v>59</v>
      </c>
      <c r="C40" t="s">
        <v>235</v>
      </c>
      <c r="D40" t="s">
        <v>399</v>
      </c>
      <c r="I40">
        <v>2000</v>
      </c>
      <c r="K40" t="s">
        <v>460</v>
      </c>
      <c r="L40">
        <f>HYPERLINK("https://maps.cookcountyil.gov/cookviewer/?search=3351 N TROY ST", "3351 N TROY ST")</f>
        <v>0</v>
      </c>
      <c r="N40" t="s">
        <v>598</v>
      </c>
      <c r="P40" t="s">
        <v>634</v>
      </c>
      <c r="Q40" t="s">
        <v>808</v>
      </c>
      <c r="U40">
        <f>HYPERLINK("https://www.cookcountyassessoril.gov/pin/13243110020000", "13-24-311-002-0000")</f>
        <v>0</v>
      </c>
      <c r="V40" t="s">
        <v>954</v>
      </c>
    </row>
    <row r="41" spans="1:22">
      <c r="A41">
        <v>40</v>
      </c>
      <c r="B41" t="s">
        <v>60</v>
      </c>
      <c r="C41" t="s">
        <v>236</v>
      </c>
      <c r="D41" t="s">
        <v>396</v>
      </c>
      <c r="I41">
        <v>40000</v>
      </c>
      <c r="K41" t="s">
        <v>461</v>
      </c>
      <c r="L41">
        <f>HYPERLINK("https://maps.cookcountyil.gov/cookviewer/?search=5852 W WAVELAND AVE", "5852 W WAVELAND AVE")</f>
        <v>0</v>
      </c>
      <c r="N41" t="s">
        <v>598</v>
      </c>
      <c r="P41" t="s">
        <v>635</v>
      </c>
      <c r="Q41" t="s">
        <v>809</v>
      </c>
      <c r="U41">
        <f>HYPERLINK("https://www.cookcountyassessoril.gov/pin/13202210360000", "13-20-221-036-0000")</f>
        <v>0</v>
      </c>
      <c r="V41" t="s">
        <v>955</v>
      </c>
    </row>
    <row r="42" spans="1:22">
      <c r="A42">
        <v>41</v>
      </c>
      <c r="B42" t="s">
        <v>61</v>
      </c>
      <c r="C42" t="s">
        <v>237</v>
      </c>
      <c r="D42" t="s">
        <v>408</v>
      </c>
      <c r="I42">
        <v>30000</v>
      </c>
      <c r="K42" t="s">
        <v>462</v>
      </c>
      <c r="L42">
        <f>HYPERLINK("https://maps.cookcountyil.gov/cookviewer/?search=1624 W CARMEN AVE", "1624 W CARMEN AVE")</f>
        <v>0</v>
      </c>
      <c r="N42" t="s">
        <v>598</v>
      </c>
      <c r="P42" t="s">
        <v>636</v>
      </c>
      <c r="Q42" t="s">
        <v>810</v>
      </c>
      <c r="U42">
        <f>HYPERLINK("https://www.cookcountyassessoril.gov/pin/14074080880000", "14-07-408-088-0000")</f>
        <v>0</v>
      </c>
      <c r="V42" t="s">
        <v>954</v>
      </c>
    </row>
    <row r="43" spans="1:22">
      <c r="A43">
        <v>42</v>
      </c>
      <c r="B43" t="s">
        <v>62</v>
      </c>
      <c r="C43" t="s">
        <v>238</v>
      </c>
      <c r="D43" t="s">
        <v>408</v>
      </c>
      <c r="I43">
        <v>14000</v>
      </c>
      <c r="K43" t="s">
        <v>463</v>
      </c>
      <c r="L43">
        <f>HYPERLINK("https://maps.cookcountyil.gov/cookviewer/?search=233 S WACKER DR", "233 S WACKER DR")</f>
        <v>0</v>
      </c>
      <c r="N43" t="s">
        <v>598</v>
      </c>
      <c r="P43" t="s">
        <v>637</v>
      </c>
      <c r="Q43" t="s">
        <v>811</v>
      </c>
      <c r="U43">
        <f>HYPERLINK("https://www.cookcountyassessoril.gov/pin/17162160090000", "17-16-216-009-0000")</f>
        <v>0</v>
      </c>
      <c r="V43" t="s">
        <v>954</v>
      </c>
    </row>
    <row r="44" spans="1:22">
      <c r="A44">
        <v>43</v>
      </c>
      <c r="B44" t="s">
        <v>63</v>
      </c>
      <c r="C44" t="s">
        <v>239</v>
      </c>
      <c r="D44" t="s">
        <v>407</v>
      </c>
      <c r="I44">
        <v>52704</v>
      </c>
      <c r="K44" t="s">
        <v>464</v>
      </c>
      <c r="L44">
        <f>HYPERLINK("https://maps.cookcountyil.gov/cookviewer/?search=3940 W FULLERTON AVE", "3940 W FULLERTON AVE")</f>
        <v>0</v>
      </c>
      <c r="N44" t="s">
        <v>598</v>
      </c>
      <c r="P44" t="s">
        <v>638</v>
      </c>
      <c r="Q44" t="s">
        <v>812</v>
      </c>
      <c r="U44" t="s">
        <v>953</v>
      </c>
      <c r="V44" t="s">
        <v>955</v>
      </c>
    </row>
    <row r="45" spans="1:22">
      <c r="A45">
        <v>44</v>
      </c>
      <c r="B45" t="s">
        <v>64</v>
      </c>
      <c r="C45" t="s">
        <v>240</v>
      </c>
      <c r="D45" t="s">
        <v>396</v>
      </c>
      <c r="I45">
        <v>27950</v>
      </c>
      <c r="K45" t="s">
        <v>465</v>
      </c>
      <c r="L45">
        <f>HYPERLINK("https://maps.cookcountyil.gov/cookviewer/?search=2830 N ALBANY AVE", "2830 N ALBANY AVE")</f>
        <v>0</v>
      </c>
      <c r="N45" t="s">
        <v>598</v>
      </c>
      <c r="P45" t="s">
        <v>639</v>
      </c>
      <c r="Q45" t="s">
        <v>813</v>
      </c>
      <c r="U45">
        <f>HYPERLINK("https://www.cookcountyassessoril.gov/pin/13251300230000", "13-25-130-023-0000")</f>
        <v>0</v>
      </c>
      <c r="V45" t="s">
        <v>955</v>
      </c>
    </row>
    <row r="46" spans="1:22">
      <c r="A46">
        <v>45</v>
      </c>
      <c r="B46" t="s">
        <v>65</v>
      </c>
      <c r="C46" t="s">
        <v>241</v>
      </c>
      <c r="D46" t="s">
        <v>411</v>
      </c>
      <c r="I46">
        <v>1200000</v>
      </c>
      <c r="K46" t="s">
        <v>466</v>
      </c>
      <c r="L46">
        <f>HYPERLINK("https://maps.cookcountyil.gov/cookviewer/?search=6000 N CICERO AVE", "6000 N CICERO AVE")</f>
        <v>0</v>
      </c>
      <c r="N46" t="s">
        <v>598</v>
      </c>
      <c r="P46" t="s">
        <v>640</v>
      </c>
      <c r="Q46" t="s">
        <v>814</v>
      </c>
      <c r="U46">
        <f>HYPERLINK("https://www.cookcountyassessoril.gov/pin/13042290580000", "13-04-229-058-0000")</f>
        <v>0</v>
      </c>
      <c r="V46" t="s">
        <v>954</v>
      </c>
    </row>
    <row r="47" spans="1:22">
      <c r="A47">
        <v>46</v>
      </c>
      <c r="B47" t="s">
        <v>66</v>
      </c>
      <c r="C47" t="s">
        <v>241</v>
      </c>
      <c r="D47" t="s">
        <v>411</v>
      </c>
      <c r="I47">
        <v>1200000</v>
      </c>
      <c r="K47" t="s">
        <v>466</v>
      </c>
      <c r="L47">
        <f>HYPERLINK("https://maps.cookcountyil.gov/cookviewer/?search=6000 N CICERO AVE", "6000 N CICERO AVE")</f>
        <v>0</v>
      </c>
      <c r="N47" t="s">
        <v>598</v>
      </c>
      <c r="P47" t="s">
        <v>640</v>
      </c>
      <c r="Q47" t="s">
        <v>814</v>
      </c>
      <c r="U47">
        <f>HYPERLINK("https://www.cookcountyassessoril.gov/pin/13042290580000", "13-04-229-058-0000")</f>
        <v>0</v>
      </c>
      <c r="V47" t="s">
        <v>954</v>
      </c>
    </row>
    <row r="48" spans="1:22">
      <c r="A48">
        <v>47</v>
      </c>
      <c r="B48" t="s">
        <v>67</v>
      </c>
      <c r="C48" t="s">
        <v>242</v>
      </c>
      <c r="D48" t="s">
        <v>406</v>
      </c>
      <c r="I48">
        <v>500</v>
      </c>
      <c r="K48" t="s">
        <v>467</v>
      </c>
      <c r="L48">
        <f>HYPERLINK("https://maps.cookcountyil.gov/cookviewer/?search=2351 W CONGRESS PKWY", "2351 W CONGRESS PKWY")</f>
        <v>0</v>
      </c>
      <c r="N48" t="s">
        <v>598</v>
      </c>
      <c r="P48" t="s">
        <v>641</v>
      </c>
      <c r="Q48" t="s">
        <v>815</v>
      </c>
      <c r="U48" t="s">
        <v>953</v>
      </c>
      <c r="V48" t="s">
        <v>955</v>
      </c>
    </row>
    <row r="49" spans="1:22">
      <c r="A49">
        <v>48</v>
      </c>
      <c r="B49" t="s">
        <v>68</v>
      </c>
      <c r="C49" t="s">
        <v>243</v>
      </c>
      <c r="D49" t="s">
        <v>402</v>
      </c>
      <c r="I49">
        <v>70000</v>
      </c>
      <c r="K49" t="s">
        <v>468</v>
      </c>
      <c r="L49">
        <f>HYPERLINK("https://maps.cookcountyil.gov/cookviewer/?search=3314 N LAKE SHORE DR", "3314 N LAKE SHORE DR")</f>
        <v>0</v>
      </c>
      <c r="N49" t="s">
        <v>598</v>
      </c>
      <c r="P49" t="s">
        <v>642</v>
      </c>
      <c r="Q49" t="s">
        <v>816</v>
      </c>
      <c r="U49" t="s">
        <v>953</v>
      </c>
      <c r="V49" t="s">
        <v>954</v>
      </c>
    </row>
    <row r="50" spans="1:22">
      <c r="A50">
        <v>49</v>
      </c>
      <c r="B50" t="s">
        <v>69</v>
      </c>
      <c r="C50" t="s">
        <v>244</v>
      </c>
      <c r="D50" t="s">
        <v>412</v>
      </c>
      <c r="I50">
        <v>20000</v>
      </c>
      <c r="K50" t="s">
        <v>469</v>
      </c>
      <c r="L50">
        <f>HYPERLINK("https://maps.cookcountyil.gov/cookviewer/?search=505 W GRANT PL", "505 W GRANT PL")</f>
        <v>0</v>
      </c>
      <c r="N50" t="s">
        <v>598</v>
      </c>
      <c r="P50" t="s">
        <v>643</v>
      </c>
      <c r="Q50" t="s">
        <v>817</v>
      </c>
      <c r="U50">
        <f>HYPERLINK("https://www.cookcountyassessoril.gov/pin/14331120320000", "14-33-112-032-0000")</f>
        <v>0</v>
      </c>
      <c r="V50" t="s">
        <v>954</v>
      </c>
    </row>
    <row r="51" spans="1:22">
      <c r="A51">
        <v>50</v>
      </c>
      <c r="B51" t="s">
        <v>70</v>
      </c>
      <c r="C51" t="s">
        <v>245</v>
      </c>
      <c r="D51" t="s">
        <v>399</v>
      </c>
      <c r="I51">
        <v>26033</v>
      </c>
      <c r="K51" t="s">
        <v>470</v>
      </c>
      <c r="L51">
        <f>HYPERLINK("https://maps.cookcountyil.gov/cookviewer/?search=8105 S ADA ST", "8105 S ADA ST")</f>
        <v>0</v>
      </c>
      <c r="N51" t="s">
        <v>598</v>
      </c>
      <c r="P51" t="s">
        <v>644</v>
      </c>
      <c r="Q51" t="s">
        <v>818</v>
      </c>
      <c r="U51">
        <f>HYPERLINK("https://www.cookcountyassessoril.gov/pin/20321210020000", "20-32-121-002-0000")</f>
        <v>0</v>
      </c>
      <c r="V51" t="s">
        <v>955</v>
      </c>
    </row>
    <row r="52" spans="1:22">
      <c r="A52">
        <v>51</v>
      </c>
      <c r="B52" t="s">
        <v>70</v>
      </c>
      <c r="C52" t="s">
        <v>246</v>
      </c>
      <c r="D52" t="s">
        <v>399</v>
      </c>
      <c r="I52">
        <v>5000</v>
      </c>
      <c r="K52" t="s">
        <v>470</v>
      </c>
      <c r="L52">
        <f>HYPERLINK("https://maps.cookcountyil.gov/cookviewer/?search=8105 S ADA ST", "8105 S ADA ST")</f>
        <v>0</v>
      </c>
      <c r="N52" t="s">
        <v>598</v>
      </c>
      <c r="P52" t="s">
        <v>644</v>
      </c>
      <c r="Q52" t="s">
        <v>819</v>
      </c>
      <c r="U52">
        <f>HYPERLINK("https://www.cookcountyassessoril.gov/pin/20321210020000", "20-32-121-002-0000")</f>
        <v>0</v>
      </c>
      <c r="V52" t="s">
        <v>954</v>
      </c>
    </row>
    <row r="53" spans="1:22">
      <c r="A53">
        <v>52</v>
      </c>
      <c r="B53" t="s">
        <v>71</v>
      </c>
      <c r="C53" t="s">
        <v>247</v>
      </c>
      <c r="D53" t="s">
        <v>396</v>
      </c>
      <c r="I53">
        <v>2500</v>
      </c>
      <c r="K53" t="s">
        <v>471</v>
      </c>
      <c r="L53">
        <f>HYPERLINK("https://maps.cookcountyil.gov/cookviewer/?search=2428 N LONG AVE", "2428 N LONG AVE")</f>
        <v>0</v>
      </c>
      <c r="N53" t="s">
        <v>598</v>
      </c>
      <c r="P53" t="s">
        <v>645</v>
      </c>
      <c r="Q53" t="s">
        <v>820</v>
      </c>
      <c r="U53">
        <f>HYPERLINK("https://www.cookcountyassessoril.gov/pin/13283270260000", "13-28-327-026-0000")</f>
        <v>0</v>
      </c>
      <c r="V53" t="s">
        <v>954</v>
      </c>
    </row>
    <row r="54" spans="1:22">
      <c r="A54">
        <v>53</v>
      </c>
      <c r="B54" t="s">
        <v>72</v>
      </c>
      <c r="C54" t="s">
        <v>248</v>
      </c>
      <c r="D54" t="s">
        <v>408</v>
      </c>
      <c r="I54">
        <v>14022</v>
      </c>
      <c r="K54" t="s">
        <v>472</v>
      </c>
      <c r="L54">
        <f>HYPERLINK("https://maps.cookcountyil.gov/cookviewer/?search=5129 W ROSCOE ST", "5129 W ROSCOE ST")</f>
        <v>0</v>
      </c>
      <c r="N54" t="s">
        <v>598</v>
      </c>
      <c r="P54" t="s">
        <v>646</v>
      </c>
      <c r="Q54" t="s">
        <v>821</v>
      </c>
      <c r="U54">
        <f>HYPERLINK("https://www.cookcountyassessoril.gov/pin/13214080350000", "13-21-408-035-0000")</f>
        <v>0</v>
      </c>
      <c r="V54" t="s">
        <v>955</v>
      </c>
    </row>
    <row r="55" spans="1:22">
      <c r="A55">
        <v>54</v>
      </c>
      <c r="B55" t="s">
        <v>72</v>
      </c>
      <c r="C55" t="s">
        <v>249</v>
      </c>
      <c r="D55" t="s">
        <v>408</v>
      </c>
      <c r="I55">
        <v>5000</v>
      </c>
      <c r="K55" t="s">
        <v>472</v>
      </c>
      <c r="L55">
        <f>HYPERLINK("https://maps.cookcountyil.gov/cookviewer/?search=5129 W ROSCOE ST", "5129 W ROSCOE ST")</f>
        <v>0</v>
      </c>
      <c r="N55" t="s">
        <v>598</v>
      </c>
      <c r="P55" t="s">
        <v>646</v>
      </c>
      <c r="Q55" t="s">
        <v>822</v>
      </c>
      <c r="U55">
        <f>HYPERLINK("https://www.cookcountyassessoril.gov/pin/13214080350000", "13-21-408-035-0000")</f>
        <v>0</v>
      </c>
      <c r="V55" t="s">
        <v>954</v>
      </c>
    </row>
    <row r="56" spans="1:22">
      <c r="A56">
        <v>55</v>
      </c>
      <c r="B56" t="s">
        <v>73</v>
      </c>
      <c r="C56" t="s">
        <v>250</v>
      </c>
      <c r="D56" t="s">
        <v>407</v>
      </c>
      <c r="I56">
        <v>3500</v>
      </c>
      <c r="K56" t="s">
        <v>473</v>
      </c>
      <c r="L56">
        <f>HYPERLINK("https://maps.cookcountyil.gov/cookviewer/?search=6032 S MICHIGAN AVE", "6032 S MICHIGAN AVE")</f>
        <v>0</v>
      </c>
      <c r="N56" t="s">
        <v>598</v>
      </c>
      <c r="P56" t="s">
        <v>647</v>
      </c>
      <c r="Q56" t="s">
        <v>823</v>
      </c>
      <c r="U56">
        <f>HYPERLINK("https://www.cookcountyassessoril.gov/pin/20153070250000", "20-15-307-025-0000")</f>
        <v>0</v>
      </c>
      <c r="V56" t="s">
        <v>954</v>
      </c>
    </row>
    <row r="57" spans="1:22">
      <c r="A57">
        <v>56</v>
      </c>
      <c r="B57" t="s">
        <v>74</v>
      </c>
      <c r="C57" t="s">
        <v>251</v>
      </c>
      <c r="D57" t="s">
        <v>404</v>
      </c>
      <c r="I57">
        <v>43624</v>
      </c>
      <c r="K57" t="s">
        <v>474</v>
      </c>
      <c r="L57">
        <f>HYPERLINK("https://maps.cookcountyil.gov/cookviewer/?search=6213 N OZANAM AVE", "6213 N OZANAM AVE")</f>
        <v>0</v>
      </c>
      <c r="N57" t="s">
        <v>598</v>
      </c>
      <c r="P57" t="s">
        <v>648</v>
      </c>
      <c r="Q57" t="s">
        <v>824</v>
      </c>
      <c r="U57">
        <f>HYPERLINK("https://www.cookcountyassessoril.gov/pin/12011050600000", "12-01-105-060-0000")</f>
        <v>0</v>
      </c>
      <c r="V57" t="s">
        <v>955</v>
      </c>
    </row>
    <row r="58" spans="1:22">
      <c r="A58">
        <v>57</v>
      </c>
      <c r="B58" t="s">
        <v>75</v>
      </c>
      <c r="C58" t="s">
        <v>252</v>
      </c>
      <c r="D58" t="s">
        <v>407</v>
      </c>
      <c r="I58">
        <v>5000</v>
      </c>
      <c r="K58" t="s">
        <v>475</v>
      </c>
      <c r="L58">
        <f>HYPERLINK("https://maps.cookcountyil.gov/cookviewer/?search=5035 W DIVISION ST", "5035 W DIVISION ST")</f>
        <v>0</v>
      </c>
      <c r="N58" t="s">
        <v>598</v>
      </c>
      <c r="P58" t="s">
        <v>649</v>
      </c>
      <c r="Q58" t="s">
        <v>825</v>
      </c>
      <c r="U58">
        <f>HYPERLINK("https://www.cookcountyassessoril.gov/pin/16044020340000", "16-04-402-034-0000")</f>
        <v>0</v>
      </c>
      <c r="V58" t="s">
        <v>954</v>
      </c>
    </row>
    <row r="59" spans="1:22">
      <c r="A59">
        <v>58</v>
      </c>
      <c r="B59" t="s">
        <v>76</v>
      </c>
      <c r="C59" t="s">
        <v>253</v>
      </c>
      <c r="D59" t="s">
        <v>408</v>
      </c>
      <c r="I59">
        <v>7790</v>
      </c>
      <c r="K59" t="s">
        <v>476</v>
      </c>
      <c r="L59">
        <f>HYPERLINK("https://maps.cookcountyil.gov/cookviewer/?search=7309 N ODELL AVE", "7309 N ODELL AVE")</f>
        <v>0</v>
      </c>
      <c r="N59" t="s">
        <v>598</v>
      </c>
      <c r="P59" t="s">
        <v>650</v>
      </c>
      <c r="Q59" t="s">
        <v>826</v>
      </c>
      <c r="U59">
        <f>HYPERLINK("https://www.cookcountyassessoril.gov/pin/09254220580000", "09-25-422-058-0000")</f>
        <v>0</v>
      </c>
      <c r="V59" t="s">
        <v>955</v>
      </c>
    </row>
    <row r="60" spans="1:22">
      <c r="A60">
        <v>59</v>
      </c>
      <c r="B60" t="s">
        <v>77</v>
      </c>
      <c r="C60" t="s">
        <v>254</v>
      </c>
      <c r="D60" t="s">
        <v>413</v>
      </c>
      <c r="I60">
        <v>4500</v>
      </c>
      <c r="K60" t="s">
        <v>477</v>
      </c>
      <c r="L60">
        <f>HYPERLINK("https://maps.cookcountyil.gov/cookviewer/?search=3945 W 66TH PL", "3945 W 66TH PL")</f>
        <v>0</v>
      </c>
      <c r="N60" t="s">
        <v>598</v>
      </c>
      <c r="P60" t="s">
        <v>651</v>
      </c>
      <c r="Q60" t="s">
        <v>827</v>
      </c>
      <c r="U60">
        <f>HYPERLINK("https://www.cookcountyassessoril.gov/pin/19231260050000", "19-23-126-005-0000")</f>
        <v>0</v>
      </c>
      <c r="V60" t="s">
        <v>955</v>
      </c>
    </row>
    <row r="61" spans="1:22">
      <c r="A61">
        <v>60</v>
      </c>
      <c r="B61" t="s">
        <v>78</v>
      </c>
      <c r="C61" t="s">
        <v>255</v>
      </c>
      <c r="D61" t="s">
        <v>399</v>
      </c>
      <c r="I61">
        <v>12000</v>
      </c>
      <c r="K61" t="s">
        <v>478</v>
      </c>
      <c r="L61">
        <f>HYPERLINK("https://maps.cookcountyil.gov/cookviewer/?search=1024 W OAKDALE AVE", "1024 W OAKDALE AVE")</f>
        <v>0</v>
      </c>
      <c r="N61" t="s">
        <v>598</v>
      </c>
      <c r="P61" t="s">
        <v>652</v>
      </c>
      <c r="Q61" t="s">
        <v>828</v>
      </c>
      <c r="U61">
        <f>HYPERLINK("https://www.cookcountyassessoril.gov/pin/14292160250000", "14-29-216-025-0000")</f>
        <v>0</v>
      </c>
      <c r="V61" t="s">
        <v>955</v>
      </c>
    </row>
    <row r="62" spans="1:22">
      <c r="A62">
        <v>61</v>
      </c>
      <c r="B62" t="s">
        <v>79</v>
      </c>
      <c r="C62" t="s">
        <v>256</v>
      </c>
      <c r="D62" t="s">
        <v>414</v>
      </c>
      <c r="I62">
        <v>5000</v>
      </c>
      <c r="K62" t="s">
        <v>479</v>
      </c>
      <c r="L62">
        <f>HYPERLINK("https://maps.cookcountyil.gov/cookviewer/?search=2254 N HAMLIN AVE", "2254 N HAMLIN AVE")</f>
        <v>0</v>
      </c>
      <c r="N62" t="s">
        <v>598</v>
      </c>
      <c r="P62" t="s">
        <v>653</v>
      </c>
      <c r="Q62" t="s">
        <v>829</v>
      </c>
      <c r="U62">
        <f>HYPERLINK("https://www.cookcountyassessoril.gov/pin/13351100090000", "13-35-110-009-0000")</f>
        <v>0</v>
      </c>
      <c r="V62" t="s">
        <v>954</v>
      </c>
    </row>
    <row r="63" spans="1:22">
      <c r="A63">
        <v>62</v>
      </c>
      <c r="B63" t="s">
        <v>80</v>
      </c>
      <c r="C63" t="s">
        <v>257</v>
      </c>
      <c r="D63" t="s">
        <v>408</v>
      </c>
      <c r="I63">
        <v>1500</v>
      </c>
      <c r="K63" t="s">
        <v>480</v>
      </c>
      <c r="L63">
        <f>HYPERLINK("https://maps.cookcountyil.gov/cookviewer/?search=1226 W GEORGE ST", "1226 W GEORGE ST")</f>
        <v>0</v>
      </c>
      <c r="N63" t="s">
        <v>598</v>
      </c>
      <c r="P63" t="s">
        <v>654</v>
      </c>
      <c r="Q63" t="s">
        <v>830</v>
      </c>
      <c r="U63">
        <f>HYPERLINK("https://www.cookcountyassessoril.gov/pin/14291230270000", "14-29-123-027-0000")</f>
        <v>0</v>
      </c>
      <c r="V63" t="s">
        <v>954</v>
      </c>
    </row>
    <row r="64" spans="1:22">
      <c r="A64">
        <v>63</v>
      </c>
      <c r="B64" t="s">
        <v>81</v>
      </c>
      <c r="C64" t="s">
        <v>258</v>
      </c>
      <c r="D64" t="s">
        <v>396</v>
      </c>
      <c r="I64">
        <v>40000</v>
      </c>
      <c r="K64" t="s">
        <v>481</v>
      </c>
      <c r="L64">
        <f>HYPERLINK("https://maps.cookcountyil.gov/cookviewer/?search=3153 S LOWE AVE", "3153 S LOWE AVE")</f>
        <v>0</v>
      </c>
      <c r="N64" t="s">
        <v>598</v>
      </c>
      <c r="P64" t="s">
        <v>655</v>
      </c>
      <c r="Q64" t="s">
        <v>831</v>
      </c>
      <c r="U64">
        <f>HYPERLINK("https://www.cookcountyassessoril.gov/pin/17331030250000", "17-33-103-025-0000")</f>
        <v>0</v>
      </c>
      <c r="V64" t="s">
        <v>954</v>
      </c>
    </row>
    <row r="65" spans="1:22">
      <c r="A65">
        <v>64</v>
      </c>
      <c r="B65" t="s">
        <v>82</v>
      </c>
      <c r="C65" t="s">
        <v>259</v>
      </c>
      <c r="D65" t="s">
        <v>414</v>
      </c>
      <c r="I65">
        <v>4800</v>
      </c>
      <c r="K65" t="s">
        <v>482</v>
      </c>
      <c r="L65">
        <f>HYPERLINK("https://maps.cookcountyil.gov/cookviewer/?search=6154 N MOODY AVE", "6154 N MOODY AVE")</f>
        <v>0</v>
      </c>
      <c r="N65" t="s">
        <v>598</v>
      </c>
      <c r="P65" t="s">
        <v>656</v>
      </c>
      <c r="Q65" t="s">
        <v>832</v>
      </c>
      <c r="U65">
        <f>HYPERLINK("https://www.cookcountyassessoril.gov/pin/13051130190000", "13-05-113-019-0000")</f>
        <v>0</v>
      </c>
      <c r="V65" t="s">
        <v>955</v>
      </c>
    </row>
    <row r="66" spans="1:22">
      <c r="A66">
        <v>65</v>
      </c>
      <c r="B66" t="s">
        <v>83</v>
      </c>
      <c r="C66" t="s">
        <v>260</v>
      </c>
      <c r="D66" t="s">
        <v>408</v>
      </c>
      <c r="I66">
        <v>2680</v>
      </c>
      <c r="K66" t="s">
        <v>483</v>
      </c>
      <c r="L66">
        <f>HYPERLINK("https://maps.cookcountyil.gov/cookviewer/?search=2029 N NAGLE AVE", "2029 N NAGLE AVE")</f>
        <v>0</v>
      </c>
      <c r="N66" t="s">
        <v>598</v>
      </c>
      <c r="P66" t="s">
        <v>657</v>
      </c>
      <c r="Q66" t="s">
        <v>833</v>
      </c>
      <c r="U66">
        <f>HYPERLINK("https://www.cookcountyassessoril.gov/pin/13312130060000", "13-31-213-006-0000")</f>
        <v>0</v>
      </c>
      <c r="V66" t="s">
        <v>954</v>
      </c>
    </row>
    <row r="67" spans="1:22">
      <c r="A67">
        <v>66</v>
      </c>
      <c r="B67" t="s">
        <v>84</v>
      </c>
      <c r="C67" t="s">
        <v>261</v>
      </c>
      <c r="D67" t="s">
        <v>409</v>
      </c>
      <c r="I67">
        <v>12000</v>
      </c>
      <c r="K67" t="s">
        <v>484</v>
      </c>
      <c r="L67">
        <f>HYPERLINK("https://maps.cookcountyil.gov/cookviewer/?search=5477 N MARMORA AVE", "5477 N MARMORA AVE")</f>
        <v>0</v>
      </c>
      <c r="N67" t="s">
        <v>598</v>
      </c>
      <c r="P67" t="s">
        <v>629</v>
      </c>
      <c r="Q67" t="s">
        <v>803</v>
      </c>
      <c r="U67">
        <f>HYPERLINK("https://www.cookcountyassessoril.gov/pin/13082090530000", "13-08-209-053-0000")</f>
        <v>0</v>
      </c>
      <c r="V67" t="s">
        <v>954</v>
      </c>
    </row>
    <row r="68" spans="1:22">
      <c r="A68">
        <v>67</v>
      </c>
      <c r="B68" t="s">
        <v>85</v>
      </c>
      <c r="C68" t="s">
        <v>262</v>
      </c>
      <c r="D68" t="s">
        <v>409</v>
      </c>
      <c r="I68">
        <v>11000</v>
      </c>
      <c r="K68" t="s">
        <v>485</v>
      </c>
      <c r="L68">
        <f>HYPERLINK("https://maps.cookcountyil.gov/cookviewer/?search=2653 W COYLE AVE", "2653 W COYLE AVE")</f>
        <v>0</v>
      </c>
      <c r="N68" t="s">
        <v>598</v>
      </c>
      <c r="P68" t="s">
        <v>629</v>
      </c>
      <c r="Q68" t="s">
        <v>803</v>
      </c>
      <c r="U68">
        <f>HYPERLINK("https://www.cookcountyassessoril.gov/pin/10362200020000", "10-36-220-002-0000")</f>
        <v>0</v>
      </c>
      <c r="V68" t="s">
        <v>954</v>
      </c>
    </row>
    <row r="69" spans="1:22">
      <c r="A69">
        <v>68</v>
      </c>
      <c r="B69" t="s">
        <v>86</v>
      </c>
      <c r="C69" t="s">
        <v>263</v>
      </c>
      <c r="D69" t="s">
        <v>415</v>
      </c>
      <c r="I69">
        <v>11470</v>
      </c>
      <c r="K69" t="s">
        <v>486</v>
      </c>
      <c r="L69">
        <f>HYPERLINK("https://maps.cookcountyil.gov/cookviewer/?search=3842 N ALTA VISTA TER", "3842 N ALTA VISTA TER")</f>
        <v>0</v>
      </c>
      <c r="N69" t="s">
        <v>598</v>
      </c>
      <c r="P69" t="s">
        <v>658</v>
      </c>
      <c r="Q69" t="s">
        <v>834</v>
      </c>
      <c r="U69">
        <f>HYPERLINK("https://www.cookcountyassessoril.gov/pin/14202090030000", "14-20-209-003-0000")</f>
        <v>0</v>
      </c>
      <c r="V69" t="s">
        <v>954</v>
      </c>
    </row>
    <row r="70" spans="1:22">
      <c r="A70">
        <v>69</v>
      </c>
      <c r="B70" t="s">
        <v>87</v>
      </c>
      <c r="C70" t="s">
        <v>264</v>
      </c>
      <c r="D70" t="s">
        <v>408</v>
      </c>
      <c r="I70">
        <v>2000</v>
      </c>
      <c r="K70" t="s">
        <v>487</v>
      </c>
      <c r="L70">
        <f>HYPERLINK("https://maps.cookcountyil.gov/cookviewer/?search=6330 N SHERIDAN RD", "6330 N SHERIDAN RD")</f>
        <v>0</v>
      </c>
      <c r="N70" t="s">
        <v>598</v>
      </c>
      <c r="P70" t="s">
        <v>659</v>
      </c>
      <c r="Q70" t="s">
        <v>835</v>
      </c>
      <c r="U70">
        <f>HYPERLINK("https://www.cookcountyassessoril.gov/pin/14052020130000", "14-05-202-013-0000")</f>
        <v>0</v>
      </c>
      <c r="V70" t="s">
        <v>954</v>
      </c>
    </row>
    <row r="71" spans="1:22">
      <c r="A71">
        <v>70</v>
      </c>
      <c r="B71" t="s">
        <v>88</v>
      </c>
      <c r="C71" t="s">
        <v>265</v>
      </c>
      <c r="D71" t="s">
        <v>408</v>
      </c>
      <c r="I71">
        <v>30000</v>
      </c>
      <c r="K71" t="s">
        <v>488</v>
      </c>
      <c r="L71">
        <f>HYPERLINK("https://maps.cookcountyil.gov/cookviewer/?search=5306 W MONROE ST", "5306 W MONROE ST")</f>
        <v>0</v>
      </c>
      <c r="N71" t="s">
        <v>598</v>
      </c>
      <c r="P71" t="s">
        <v>660</v>
      </c>
      <c r="Q71" t="s">
        <v>836</v>
      </c>
      <c r="U71">
        <f>HYPERLINK("https://www.cookcountyassessoril.gov/pin/16161010550000", "16-16-101-055-0000")</f>
        <v>0</v>
      </c>
      <c r="V71" t="s">
        <v>955</v>
      </c>
    </row>
    <row r="72" spans="1:22">
      <c r="A72">
        <v>71</v>
      </c>
      <c r="B72" t="s">
        <v>89</v>
      </c>
      <c r="C72" t="s">
        <v>266</v>
      </c>
      <c r="D72" t="s">
        <v>411</v>
      </c>
      <c r="I72">
        <v>20000</v>
      </c>
      <c r="K72" t="s">
        <v>489</v>
      </c>
      <c r="L72">
        <f>HYPERLINK("https://maps.cookcountyil.gov/cookviewer/?search=2701 W LAWRENCE AVE", "2701 W LAWRENCE AVE")</f>
        <v>0</v>
      </c>
      <c r="N72" t="s">
        <v>598</v>
      </c>
      <c r="P72" t="s">
        <v>661</v>
      </c>
      <c r="Q72" t="s">
        <v>837</v>
      </c>
      <c r="U72" t="s">
        <v>953</v>
      </c>
      <c r="V72" t="s">
        <v>954</v>
      </c>
    </row>
    <row r="73" spans="1:22">
      <c r="A73">
        <v>72</v>
      </c>
      <c r="B73" t="s">
        <v>32</v>
      </c>
      <c r="C73" t="s">
        <v>267</v>
      </c>
      <c r="D73" t="s">
        <v>408</v>
      </c>
      <c r="I73">
        <v>3500</v>
      </c>
      <c r="K73" t="s">
        <v>490</v>
      </c>
      <c r="L73">
        <f>HYPERLINK("https://maps.cookcountyil.gov/cookviewer/?search=11601 W TOUHY AVE", "11601 W TOUHY AVE")</f>
        <v>0</v>
      </c>
      <c r="N73" t="s">
        <v>598</v>
      </c>
      <c r="P73" t="s">
        <v>662</v>
      </c>
      <c r="Q73" t="s">
        <v>838</v>
      </c>
      <c r="U73" t="s">
        <v>953</v>
      </c>
      <c r="V73" t="s">
        <v>954</v>
      </c>
    </row>
    <row r="74" spans="1:22">
      <c r="A74">
        <v>73</v>
      </c>
      <c r="B74" t="s">
        <v>90</v>
      </c>
      <c r="C74" t="s">
        <v>268</v>
      </c>
      <c r="D74" t="s">
        <v>416</v>
      </c>
      <c r="I74">
        <v>14000</v>
      </c>
      <c r="K74" t="s">
        <v>491</v>
      </c>
      <c r="L74">
        <f>HYPERLINK("https://maps.cookcountyil.gov/cookviewer/?search=2934 S NORMAL AVE", "2934 S NORMAL AVE")</f>
        <v>0</v>
      </c>
      <c r="N74" t="s">
        <v>598</v>
      </c>
      <c r="P74" t="s">
        <v>663</v>
      </c>
      <c r="Q74" t="s">
        <v>839</v>
      </c>
      <c r="U74">
        <f>HYPERLINK("https://www.cookcountyassessoril.gov/pin/17283230390000", "17-28-323-039-0000")</f>
        <v>0</v>
      </c>
      <c r="V74" t="s">
        <v>954</v>
      </c>
    </row>
    <row r="75" spans="1:22">
      <c r="A75">
        <v>74</v>
      </c>
      <c r="B75" t="s">
        <v>91</v>
      </c>
      <c r="C75" t="s">
        <v>269</v>
      </c>
      <c r="D75" t="s">
        <v>408</v>
      </c>
      <c r="I75">
        <v>3500</v>
      </c>
      <c r="K75" t="s">
        <v>492</v>
      </c>
      <c r="L75">
        <f>HYPERLINK("https://maps.cookcountyil.gov/cookviewer/?search=5700 S CICERO AVE", "5700 S CICERO AVE")</f>
        <v>0</v>
      </c>
      <c r="N75" t="s">
        <v>598</v>
      </c>
      <c r="P75" t="s">
        <v>662</v>
      </c>
      <c r="Q75" t="s">
        <v>840</v>
      </c>
      <c r="U75">
        <f>HYPERLINK("https://www.cookcountyassessoril.gov/pin/19161000028047", "19-16-100-002-8047"), =HYPERLINK("https://www.cookcountyassessoril.gov/pin/19161000028063", "19-16-100-002-8063")</f>
        <v>0</v>
      </c>
      <c r="V75" t="s">
        <v>954</v>
      </c>
    </row>
    <row r="76" spans="1:22">
      <c r="A76">
        <v>75</v>
      </c>
      <c r="B76" t="s">
        <v>92</v>
      </c>
      <c r="C76" t="s">
        <v>270</v>
      </c>
      <c r="D76" t="s">
        <v>404</v>
      </c>
      <c r="I76">
        <v>25000</v>
      </c>
      <c r="K76" t="s">
        <v>493</v>
      </c>
      <c r="L76">
        <f>HYPERLINK("https://maps.cookcountyil.gov/cookviewer/?search=838 W ALTGELD ST", "838 W ALTGELD ST")</f>
        <v>0</v>
      </c>
      <c r="N76" t="s">
        <v>598</v>
      </c>
      <c r="P76" t="s">
        <v>664</v>
      </c>
      <c r="Q76" t="s">
        <v>841</v>
      </c>
      <c r="U76" t="s">
        <v>953</v>
      </c>
      <c r="V76" t="s">
        <v>954</v>
      </c>
    </row>
    <row r="77" spans="1:22">
      <c r="A77">
        <v>76</v>
      </c>
      <c r="B77" t="s">
        <v>93</v>
      </c>
      <c r="C77" t="s">
        <v>271</v>
      </c>
      <c r="D77" t="s">
        <v>402</v>
      </c>
      <c r="I77">
        <v>46708</v>
      </c>
      <c r="K77" t="s">
        <v>494</v>
      </c>
      <c r="L77">
        <f>HYPERLINK("https://maps.cookcountyil.gov/cookviewer/?search=1110 N NOBLE ST", "1110 N NOBLE ST")</f>
        <v>0</v>
      </c>
      <c r="N77" t="s">
        <v>598</v>
      </c>
      <c r="P77" t="s">
        <v>665</v>
      </c>
      <c r="Q77" t="s">
        <v>842</v>
      </c>
      <c r="U77">
        <f>HYPERLINK("https://www.cookcountyassessoril.gov/pin/17053030440000", "17-05-303-044-0000")</f>
        <v>0</v>
      </c>
      <c r="V77" t="s">
        <v>955</v>
      </c>
    </row>
    <row r="78" spans="1:22">
      <c r="A78">
        <v>77</v>
      </c>
      <c r="B78" t="s">
        <v>94</v>
      </c>
      <c r="C78" t="s">
        <v>272</v>
      </c>
      <c r="D78" t="s">
        <v>399</v>
      </c>
      <c r="I78">
        <v>3162</v>
      </c>
      <c r="K78" t="s">
        <v>495</v>
      </c>
      <c r="L78">
        <f>HYPERLINK("https://maps.cookcountyil.gov/cookviewer/?search=8559 S ROCKWELL ST", "8559 S ROCKWELL ST")</f>
        <v>0</v>
      </c>
      <c r="N78" t="s">
        <v>598</v>
      </c>
      <c r="P78" t="s">
        <v>666</v>
      </c>
      <c r="Q78" t="s">
        <v>843</v>
      </c>
      <c r="U78">
        <f>HYPERLINK("https://www.cookcountyassessoril.gov/pin/19364180160000", "19-36-418-016-0000")</f>
        <v>0</v>
      </c>
      <c r="V78" t="s">
        <v>954</v>
      </c>
    </row>
    <row r="79" spans="1:22">
      <c r="A79">
        <v>78</v>
      </c>
      <c r="B79" t="s">
        <v>95</v>
      </c>
      <c r="C79" t="s">
        <v>273</v>
      </c>
      <c r="D79" t="s">
        <v>417</v>
      </c>
      <c r="I79">
        <v>2000</v>
      </c>
      <c r="K79" t="s">
        <v>496</v>
      </c>
      <c r="L79">
        <f>HYPERLINK("https://maps.cookcountyil.gov/cookviewer/?search=1806 S JEFFERSON ST", "1806 S JEFFERSON ST")</f>
        <v>0</v>
      </c>
      <c r="N79" t="s">
        <v>598</v>
      </c>
      <c r="P79" t="s">
        <v>667</v>
      </c>
      <c r="Q79" t="s">
        <v>844</v>
      </c>
      <c r="U79">
        <f>HYPERLINK("https://www.cookcountyassessoril.gov/pin/17213180130000", "17-21-318-013-0000")</f>
        <v>0</v>
      </c>
      <c r="V79" t="s">
        <v>954</v>
      </c>
    </row>
    <row r="80" spans="1:22">
      <c r="A80">
        <v>79</v>
      </c>
      <c r="B80" t="s">
        <v>96</v>
      </c>
      <c r="C80" t="s">
        <v>274</v>
      </c>
      <c r="D80" t="s">
        <v>399</v>
      </c>
      <c r="I80">
        <v>22138</v>
      </c>
      <c r="K80" t="s">
        <v>497</v>
      </c>
      <c r="L80">
        <f>HYPERLINK("https://maps.cookcountyil.gov/cookviewer/?search=8001 S WENTWORTH AVE", "8001 S WENTWORTH AVE")</f>
        <v>0</v>
      </c>
      <c r="N80" t="s">
        <v>598</v>
      </c>
      <c r="P80" t="s">
        <v>668</v>
      </c>
      <c r="Q80" t="s">
        <v>845</v>
      </c>
      <c r="U80" t="s">
        <v>953</v>
      </c>
      <c r="V80" t="s">
        <v>955</v>
      </c>
    </row>
    <row r="81" spans="1:22">
      <c r="A81">
        <v>80</v>
      </c>
      <c r="B81" t="s">
        <v>97</v>
      </c>
      <c r="C81" t="s">
        <v>275</v>
      </c>
      <c r="D81" t="s">
        <v>400</v>
      </c>
      <c r="I81">
        <v>450</v>
      </c>
      <c r="K81" t="s">
        <v>498</v>
      </c>
      <c r="L81">
        <f>HYPERLINK("https://maps.cookcountyil.gov/cookviewer/?search=3508 W WABANSIA AVE", "3508 W WABANSIA AVE")</f>
        <v>0</v>
      </c>
      <c r="N81" t="s">
        <v>598</v>
      </c>
      <c r="P81" t="s">
        <v>669</v>
      </c>
      <c r="Q81" t="s">
        <v>846</v>
      </c>
      <c r="U81">
        <f>HYPERLINK("https://www.cookcountyassessoril.gov/pin/13354130460000", "13-35-413-046-0000")</f>
        <v>0</v>
      </c>
      <c r="V81" t="s">
        <v>954</v>
      </c>
    </row>
    <row r="82" spans="1:22">
      <c r="A82">
        <v>81</v>
      </c>
      <c r="B82" t="s">
        <v>98</v>
      </c>
      <c r="C82" t="s">
        <v>276</v>
      </c>
      <c r="D82" t="s">
        <v>399</v>
      </c>
      <c r="I82">
        <v>17138</v>
      </c>
      <c r="K82" t="s">
        <v>499</v>
      </c>
      <c r="L82">
        <f>HYPERLINK("https://maps.cookcountyil.gov/cookviewer/?search=5829 S MELVINA AVE", "5829 S MELVINA AVE")</f>
        <v>0</v>
      </c>
      <c r="N82" t="s">
        <v>598</v>
      </c>
      <c r="P82" t="s">
        <v>670</v>
      </c>
      <c r="Q82" t="s">
        <v>847</v>
      </c>
      <c r="U82">
        <f>HYPERLINK("https://www.cookcountyassessoril.gov/pin/19171280100000", "19-17-128-010-0000")</f>
        <v>0</v>
      </c>
      <c r="V82" t="s">
        <v>955</v>
      </c>
    </row>
    <row r="83" spans="1:22">
      <c r="A83">
        <v>82</v>
      </c>
      <c r="B83" t="s">
        <v>99</v>
      </c>
      <c r="C83" t="s">
        <v>277</v>
      </c>
      <c r="D83" t="s">
        <v>404</v>
      </c>
      <c r="I83">
        <v>45000</v>
      </c>
      <c r="K83" t="s">
        <v>500</v>
      </c>
      <c r="L83">
        <f>HYPERLINK("https://maps.cookcountyil.gov/cookviewer/?search=6800 S RIDGELAND AVE", "6800 S RIDGELAND AVE")</f>
        <v>0</v>
      </c>
      <c r="N83" t="s">
        <v>598</v>
      </c>
      <c r="P83" t="s">
        <v>671</v>
      </c>
      <c r="Q83" t="s">
        <v>848</v>
      </c>
      <c r="U83">
        <f>HYPERLINK("https://www.cookcountyassessoril.gov/pin/20243100130000", "20-24-310-013-0000")</f>
        <v>0</v>
      </c>
      <c r="V83" t="s">
        <v>954</v>
      </c>
    </row>
    <row r="84" spans="1:22">
      <c r="A84">
        <v>83</v>
      </c>
      <c r="B84" t="s">
        <v>96</v>
      </c>
      <c r="C84" t="s">
        <v>278</v>
      </c>
      <c r="D84" t="s">
        <v>399</v>
      </c>
      <c r="I84">
        <v>5000</v>
      </c>
      <c r="K84" t="s">
        <v>497</v>
      </c>
      <c r="L84">
        <f>HYPERLINK("https://maps.cookcountyil.gov/cookviewer/?search=8001 S WENTWORTH AVE", "8001 S WENTWORTH AVE")</f>
        <v>0</v>
      </c>
      <c r="N84" t="s">
        <v>598</v>
      </c>
      <c r="P84" t="s">
        <v>668</v>
      </c>
      <c r="Q84" t="s">
        <v>819</v>
      </c>
      <c r="U84" t="s">
        <v>953</v>
      </c>
      <c r="V84" t="s">
        <v>954</v>
      </c>
    </row>
    <row r="85" spans="1:22">
      <c r="A85">
        <v>84</v>
      </c>
      <c r="B85" t="s">
        <v>100</v>
      </c>
      <c r="C85" t="s">
        <v>279</v>
      </c>
      <c r="D85" t="s">
        <v>413</v>
      </c>
      <c r="I85">
        <v>16500</v>
      </c>
      <c r="K85" t="s">
        <v>501</v>
      </c>
      <c r="L85">
        <f>HYPERLINK("https://maps.cookcountyil.gov/cookviewer/?search=5247 W ARGYLE ST", "5247 W ARGYLE ST")</f>
        <v>0</v>
      </c>
      <c r="N85" t="s">
        <v>598</v>
      </c>
      <c r="P85" t="s">
        <v>672</v>
      </c>
      <c r="Q85" t="s">
        <v>849</v>
      </c>
      <c r="U85" t="s">
        <v>953</v>
      </c>
      <c r="V85" t="s">
        <v>954</v>
      </c>
    </row>
    <row r="86" spans="1:22">
      <c r="A86">
        <v>85</v>
      </c>
      <c r="B86" t="s">
        <v>32</v>
      </c>
      <c r="C86" t="s">
        <v>280</v>
      </c>
      <c r="D86" t="s">
        <v>411</v>
      </c>
      <c r="I86">
        <v>15500</v>
      </c>
      <c r="K86" t="s">
        <v>490</v>
      </c>
      <c r="L86">
        <f>HYPERLINK("https://maps.cookcountyil.gov/cookviewer/?search=11601 W TOUHY AVE", "11601 W TOUHY AVE")</f>
        <v>0</v>
      </c>
      <c r="N86" t="s">
        <v>598</v>
      </c>
      <c r="P86" t="s">
        <v>673</v>
      </c>
      <c r="Q86" t="s">
        <v>850</v>
      </c>
      <c r="U86" t="s">
        <v>953</v>
      </c>
      <c r="V86" t="s">
        <v>954</v>
      </c>
    </row>
    <row r="87" spans="1:22">
      <c r="A87">
        <v>86</v>
      </c>
      <c r="B87" t="s">
        <v>101</v>
      </c>
      <c r="C87" t="s">
        <v>281</v>
      </c>
      <c r="D87" t="s">
        <v>413</v>
      </c>
      <c r="I87">
        <v>18000</v>
      </c>
      <c r="K87" t="s">
        <v>502</v>
      </c>
      <c r="L87">
        <f>HYPERLINK("https://maps.cookcountyil.gov/cookviewer/?search=1841 W CUYLER AVE", "1841 W CUYLER AVE")</f>
        <v>0</v>
      </c>
      <c r="N87" t="s">
        <v>598</v>
      </c>
      <c r="P87" t="s">
        <v>674</v>
      </c>
      <c r="Q87" t="s">
        <v>849</v>
      </c>
      <c r="U87">
        <f>HYPERLINK("https://www.cookcountyassessoril.gov/pin/14184240050000", "14-18-424-005-0000")</f>
        <v>0</v>
      </c>
      <c r="V87" t="s">
        <v>954</v>
      </c>
    </row>
    <row r="88" spans="1:22">
      <c r="A88">
        <v>87</v>
      </c>
      <c r="B88" t="s">
        <v>98</v>
      </c>
      <c r="C88" t="s">
        <v>282</v>
      </c>
      <c r="D88" t="s">
        <v>399</v>
      </c>
      <c r="I88">
        <v>5000</v>
      </c>
      <c r="K88" t="s">
        <v>499</v>
      </c>
      <c r="L88">
        <f>HYPERLINK("https://maps.cookcountyil.gov/cookviewer/?search=5829 S MELVINA AVE", "5829 S MELVINA AVE")</f>
        <v>0</v>
      </c>
      <c r="N88" t="s">
        <v>598</v>
      </c>
      <c r="P88" t="s">
        <v>670</v>
      </c>
      <c r="Q88" t="s">
        <v>851</v>
      </c>
      <c r="U88">
        <f>HYPERLINK("https://www.cookcountyassessoril.gov/pin/19171280100000", "19-17-128-010-0000")</f>
        <v>0</v>
      </c>
      <c r="V88" t="s">
        <v>954</v>
      </c>
    </row>
    <row r="89" spans="1:22">
      <c r="A89">
        <v>88</v>
      </c>
      <c r="B89" t="s">
        <v>102</v>
      </c>
      <c r="C89" t="s">
        <v>283</v>
      </c>
      <c r="D89" t="s">
        <v>413</v>
      </c>
      <c r="I89">
        <v>8000</v>
      </c>
      <c r="K89" t="s">
        <v>503</v>
      </c>
      <c r="L89">
        <f>HYPERLINK("https://maps.cookcountyil.gov/cookviewer/?search=1456 W AUGUSTA BLVD", "1456 W AUGUSTA BLVD")</f>
        <v>0</v>
      </c>
      <c r="N89" t="s">
        <v>598</v>
      </c>
      <c r="P89" t="s">
        <v>675</v>
      </c>
      <c r="Q89" t="s">
        <v>852</v>
      </c>
      <c r="U89" t="s">
        <v>953</v>
      </c>
      <c r="V89" t="s">
        <v>954</v>
      </c>
    </row>
    <row r="90" spans="1:22">
      <c r="A90">
        <v>89</v>
      </c>
      <c r="B90" t="s">
        <v>103</v>
      </c>
      <c r="C90" t="s">
        <v>284</v>
      </c>
      <c r="D90" t="s">
        <v>409</v>
      </c>
      <c r="I90">
        <v>27000</v>
      </c>
      <c r="K90" t="s">
        <v>504</v>
      </c>
      <c r="L90">
        <f>HYPERLINK("https://maps.cookcountyil.gov/cookviewer/?search=7948 S LANGLEY AVE", "7948 S LANGLEY AVE")</f>
        <v>0</v>
      </c>
      <c r="N90" t="s">
        <v>598</v>
      </c>
      <c r="P90" t="s">
        <v>676</v>
      </c>
      <c r="Q90" t="s">
        <v>849</v>
      </c>
      <c r="U90" t="s">
        <v>953</v>
      </c>
      <c r="V90" t="s">
        <v>954</v>
      </c>
    </row>
    <row r="91" spans="1:22">
      <c r="A91">
        <v>90</v>
      </c>
      <c r="B91" t="s">
        <v>104</v>
      </c>
      <c r="C91" t="s">
        <v>285</v>
      </c>
      <c r="D91" t="s">
        <v>399</v>
      </c>
      <c r="I91">
        <v>22950</v>
      </c>
      <c r="K91" t="s">
        <v>505</v>
      </c>
      <c r="L91">
        <f>HYPERLINK("https://maps.cookcountyil.gov/cookviewer/?search=11156 S PEORIA ST", "11156 S PEORIA ST")</f>
        <v>0</v>
      </c>
      <c r="N91" t="s">
        <v>598</v>
      </c>
      <c r="P91" t="s">
        <v>677</v>
      </c>
      <c r="Q91" t="s">
        <v>853</v>
      </c>
      <c r="U91" t="s">
        <v>953</v>
      </c>
      <c r="V91" t="s">
        <v>955</v>
      </c>
    </row>
    <row r="92" spans="1:22">
      <c r="A92">
        <v>91</v>
      </c>
      <c r="B92" t="s">
        <v>104</v>
      </c>
      <c r="C92" t="s">
        <v>286</v>
      </c>
      <c r="D92" t="s">
        <v>399</v>
      </c>
      <c r="I92">
        <v>9350</v>
      </c>
      <c r="K92" t="s">
        <v>505</v>
      </c>
      <c r="L92">
        <f>HYPERLINK("https://maps.cookcountyil.gov/cookviewer/?search=11156 S PEORIA ST", "11156 S PEORIA ST")</f>
        <v>0</v>
      </c>
      <c r="N92" t="s">
        <v>598</v>
      </c>
      <c r="P92" t="s">
        <v>677</v>
      </c>
      <c r="Q92" t="s">
        <v>854</v>
      </c>
      <c r="U92" t="s">
        <v>953</v>
      </c>
      <c r="V92" t="s">
        <v>955</v>
      </c>
    </row>
    <row r="93" spans="1:22">
      <c r="A93">
        <v>92</v>
      </c>
      <c r="B93" t="s">
        <v>105</v>
      </c>
      <c r="C93" t="s">
        <v>287</v>
      </c>
      <c r="D93" t="s">
        <v>398</v>
      </c>
      <c r="I93">
        <v>41469</v>
      </c>
      <c r="K93" t="s">
        <v>506</v>
      </c>
      <c r="L93">
        <f>HYPERLINK("https://maps.cookcountyil.gov/cookviewer/?search=716 W BARRY AVE", "716 W BARRY AVE")</f>
        <v>0</v>
      </c>
      <c r="N93" t="s">
        <v>598</v>
      </c>
      <c r="P93" t="s">
        <v>678</v>
      </c>
      <c r="Q93" t="s">
        <v>855</v>
      </c>
      <c r="U93">
        <f>HYPERLINK("https://www.cookcountyassessoril.gov/pin/14281041041005", "14-28-104-104-1005"), =HYPERLINK("https://www.cookcountyassessoril.gov/pin/14281041041006", "14-28-104-104-1006")</f>
        <v>0</v>
      </c>
      <c r="V93" t="s">
        <v>955</v>
      </c>
    </row>
    <row r="94" spans="1:22">
      <c r="A94">
        <v>93</v>
      </c>
      <c r="B94" t="s">
        <v>106</v>
      </c>
      <c r="C94" t="s">
        <v>288</v>
      </c>
      <c r="D94" t="s">
        <v>402</v>
      </c>
      <c r="I94">
        <v>693800</v>
      </c>
      <c r="K94" t="s">
        <v>507</v>
      </c>
      <c r="L94">
        <f>HYPERLINK("https://maps.cookcountyil.gov/cookviewer/?search=3800 N LAKE SHORE DR", "3800 N LAKE SHORE DR")</f>
        <v>0</v>
      </c>
      <c r="N94" t="s">
        <v>598</v>
      </c>
      <c r="P94" t="s">
        <v>679</v>
      </c>
      <c r="Q94" t="s">
        <v>856</v>
      </c>
      <c r="U94" t="s">
        <v>953</v>
      </c>
      <c r="V94" t="s">
        <v>954</v>
      </c>
    </row>
    <row r="95" spans="1:22">
      <c r="A95">
        <v>94</v>
      </c>
      <c r="B95" t="s">
        <v>107</v>
      </c>
      <c r="C95" t="s">
        <v>289</v>
      </c>
      <c r="D95" t="s">
        <v>408</v>
      </c>
      <c r="I95">
        <v>357750</v>
      </c>
      <c r="K95" t="s">
        <v>508</v>
      </c>
      <c r="L95">
        <f>HYPERLINK("https://maps.cookcountyil.gov/cookviewer/?search=1345 W MADISON ST", "1345 W MADISON ST")</f>
        <v>0</v>
      </c>
      <c r="N95" t="s">
        <v>598</v>
      </c>
      <c r="P95" t="s">
        <v>680</v>
      </c>
      <c r="Q95" t="s">
        <v>857</v>
      </c>
      <c r="U95" t="s">
        <v>953</v>
      </c>
      <c r="V95" t="s">
        <v>955</v>
      </c>
    </row>
    <row r="96" spans="1:22">
      <c r="A96">
        <v>95</v>
      </c>
      <c r="B96" t="s">
        <v>108</v>
      </c>
      <c r="C96" t="s">
        <v>290</v>
      </c>
      <c r="D96" t="s">
        <v>404</v>
      </c>
      <c r="I96">
        <v>13150</v>
      </c>
      <c r="K96" t="s">
        <v>509</v>
      </c>
      <c r="L96">
        <f>HYPERLINK("https://maps.cookcountyil.gov/cookviewer/?search=4119 N LAWLER AVE", "4119 N LAWLER AVE")</f>
        <v>0</v>
      </c>
      <c r="N96" t="s">
        <v>598</v>
      </c>
      <c r="P96" t="s">
        <v>681</v>
      </c>
      <c r="Q96" t="s">
        <v>858</v>
      </c>
      <c r="U96">
        <f>HYPERLINK("https://www.cookcountyassessoril.gov/pin/13164180110000", "13-16-418-011-0000")</f>
        <v>0</v>
      </c>
      <c r="V96" t="s">
        <v>955</v>
      </c>
    </row>
    <row r="97" spans="1:22">
      <c r="A97">
        <v>96</v>
      </c>
      <c r="B97" t="s">
        <v>109</v>
      </c>
      <c r="C97" t="s">
        <v>291</v>
      </c>
      <c r="D97" t="s">
        <v>401</v>
      </c>
      <c r="I97">
        <v>10000</v>
      </c>
      <c r="K97" t="s">
        <v>510</v>
      </c>
      <c r="L97">
        <f>HYPERLINK("https://maps.cookcountyil.gov/cookviewer/?search=6445 N GLENWOOD AVE", "6445 N GLENWOOD AVE")</f>
        <v>0</v>
      </c>
      <c r="N97" t="s">
        <v>598</v>
      </c>
      <c r="P97" t="s">
        <v>682</v>
      </c>
      <c r="Q97" t="s">
        <v>859</v>
      </c>
      <c r="U97">
        <f>HYPERLINK("https://www.cookcountyassessoril.gov/pin/11323280140000", "11-32-328-014-0000")</f>
        <v>0</v>
      </c>
      <c r="V97" t="s">
        <v>954</v>
      </c>
    </row>
    <row r="98" spans="1:22">
      <c r="A98">
        <v>97</v>
      </c>
      <c r="B98" t="s">
        <v>110</v>
      </c>
      <c r="C98" t="s">
        <v>292</v>
      </c>
      <c r="D98" t="s">
        <v>408</v>
      </c>
      <c r="I98">
        <v>29459</v>
      </c>
      <c r="K98" t="s">
        <v>511</v>
      </c>
      <c r="L98">
        <f>HYPERLINK("https://maps.cookcountyil.gov/cookviewer/?search=3443 W 71ST ST", "3443 W 71ST ST")</f>
        <v>0</v>
      </c>
      <c r="N98" t="s">
        <v>598</v>
      </c>
      <c r="P98" t="s">
        <v>683</v>
      </c>
      <c r="Q98" t="s">
        <v>860</v>
      </c>
      <c r="U98" t="s">
        <v>953</v>
      </c>
      <c r="V98" t="s">
        <v>955</v>
      </c>
    </row>
    <row r="99" spans="1:22">
      <c r="A99">
        <v>98</v>
      </c>
      <c r="B99" t="s">
        <v>111</v>
      </c>
      <c r="C99" t="s">
        <v>293</v>
      </c>
      <c r="D99" t="s">
        <v>399</v>
      </c>
      <c r="I99">
        <v>5000</v>
      </c>
      <c r="K99" t="s">
        <v>512</v>
      </c>
      <c r="L99">
        <f>HYPERLINK("https://maps.cookcountyil.gov/cookviewer/?search=401 E WACKER DR", "401 E WACKER DR")</f>
        <v>0</v>
      </c>
      <c r="N99" t="s">
        <v>598</v>
      </c>
      <c r="P99" t="s">
        <v>684</v>
      </c>
      <c r="Q99" t="s">
        <v>861</v>
      </c>
      <c r="U99" t="s">
        <v>953</v>
      </c>
      <c r="V99" t="s">
        <v>954</v>
      </c>
    </row>
    <row r="100" spans="1:22">
      <c r="A100">
        <v>99</v>
      </c>
      <c r="B100" t="s">
        <v>112</v>
      </c>
      <c r="C100" t="s">
        <v>294</v>
      </c>
      <c r="D100" t="s">
        <v>408</v>
      </c>
      <c r="I100">
        <v>1850</v>
      </c>
      <c r="K100" t="s">
        <v>513</v>
      </c>
      <c r="L100">
        <f>HYPERLINK("https://maps.cookcountyil.gov/cookviewer/?search=5934 W ERIE ST", "5934 W ERIE ST")</f>
        <v>0</v>
      </c>
      <c r="N100" t="s">
        <v>598</v>
      </c>
      <c r="P100" t="s">
        <v>685</v>
      </c>
      <c r="Q100" t="s">
        <v>862</v>
      </c>
      <c r="U100">
        <f>HYPERLINK("https://www.cookcountyassessoril.gov/pin/16082080250000", "16-08-208-025-0000")</f>
        <v>0</v>
      </c>
      <c r="V100" t="s">
        <v>954</v>
      </c>
    </row>
    <row r="101" spans="1:22">
      <c r="A101">
        <v>100</v>
      </c>
      <c r="B101" t="s">
        <v>113</v>
      </c>
      <c r="C101" t="s">
        <v>295</v>
      </c>
      <c r="D101" t="s">
        <v>401</v>
      </c>
      <c r="I101">
        <v>1181</v>
      </c>
      <c r="K101" t="s">
        <v>514</v>
      </c>
      <c r="L101">
        <f>HYPERLINK("https://maps.cookcountyil.gov/cookviewer/?search=4624 S ELLIS AVE", "4624 S ELLIS AVE")</f>
        <v>0</v>
      </c>
      <c r="N101" t="s">
        <v>598</v>
      </c>
      <c r="P101" t="s">
        <v>686</v>
      </c>
      <c r="Q101" t="s">
        <v>863</v>
      </c>
      <c r="U101">
        <f>HYPERLINK("https://www.cookcountyassessoril.gov/pin/20023160230000", "20-02-316-023-0000")</f>
        <v>0</v>
      </c>
      <c r="V101" t="s">
        <v>954</v>
      </c>
    </row>
    <row r="102" spans="1:22">
      <c r="A102">
        <v>101</v>
      </c>
      <c r="B102" t="s">
        <v>114</v>
      </c>
      <c r="C102" t="s">
        <v>296</v>
      </c>
      <c r="D102" t="s">
        <v>418</v>
      </c>
      <c r="I102">
        <v>7988100</v>
      </c>
      <c r="K102" t="s">
        <v>515</v>
      </c>
      <c r="L102">
        <f>HYPERLINK("https://maps.cookcountyil.gov/cookviewer/?search=6560 W FULLERTON AVE", "6560 W FULLERTON AVE")</f>
        <v>0</v>
      </c>
      <c r="N102" t="s">
        <v>598</v>
      </c>
      <c r="P102" t="s">
        <v>687</v>
      </c>
      <c r="Q102" t="s">
        <v>864</v>
      </c>
      <c r="U102" t="s">
        <v>953</v>
      </c>
      <c r="V102" t="s">
        <v>954</v>
      </c>
    </row>
    <row r="103" spans="1:22">
      <c r="A103">
        <v>102</v>
      </c>
      <c r="B103" t="s">
        <v>115</v>
      </c>
      <c r="C103" t="s">
        <v>297</v>
      </c>
      <c r="D103" t="s">
        <v>409</v>
      </c>
      <c r="I103">
        <v>36898</v>
      </c>
      <c r="K103" t="s">
        <v>516</v>
      </c>
      <c r="L103">
        <f>HYPERLINK("https://maps.cookcountyil.gov/cookviewer/?search=1352 W 110TH ST", "1352 W 110TH ST")</f>
        <v>0</v>
      </c>
      <c r="N103" t="s">
        <v>598</v>
      </c>
      <c r="P103" t="s">
        <v>688</v>
      </c>
      <c r="Q103" t="s">
        <v>865</v>
      </c>
      <c r="U103" t="s">
        <v>953</v>
      </c>
      <c r="V103" t="s">
        <v>955</v>
      </c>
    </row>
    <row r="104" spans="1:22">
      <c r="A104">
        <v>103</v>
      </c>
      <c r="B104" t="s">
        <v>116</v>
      </c>
      <c r="C104" t="s">
        <v>298</v>
      </c>
      <c r="D104" t="s">
        <v>408</v>
      </c>
      <c r="I104">
        <v>5000</v>
      </c>
      <c r="K104" t="s">
        <v>517</v>
      </c>
      <c r="L104">
        <f>HYPERLINK("https://maps.cookcountyil.gov/cookviewer/?search=120 N LA SALLE ST", "120 N LA SALLE ST")</f>
        <v>0</v>
      </c>
      <c r="N104" t="s">
        <v>598</v>
      </c>
      <c r="P104" t="s">
        <v>689</v>
      </c>
      <c r="Q104" t="s">
        <v>866</v>
      </c>
      <c r="U104" t="s">
        <v>953</v>
      </c>
      <c r="V104" t="s">
        <v>954</v>
      </c>
    </row>
    <row r="105" spans="1:22">
      <c r="A105">
        <v>104</v>
      </c>
      <c r="B105" t="s">
        <v>117</v>
      </c>
      <c r="C105" t="s">
        <v>299</v>
      </c>
      <c r="D105" t="s">
        <v>408</v>
      </c>
      <c r="I105">
        <v>2300</v>
      </c>
      <c r="K105" t="s">
        <v>518</v>
      </c>
      <c r="L105">
        <f>HYPERLINK("https://maps.cookcountyil.gov/cookviewer/?search=3424 W WRIGHTWOOD AVE", "3424 W WRIGHTWOOD AVE")</f>
        <v>0</v>
      </c>
      <c r="N105" t="s">
        <v>598</v>
      </c>
      <c r="P105" t="s">
        <v>690</v>
      </c>
      <c r="Q105" t="s">
        <v>800</v>
      </c>
      <c r="U105">
        <f>HYPERLINK("https://www.cookcountyassessoril.gov/pin/13264120250000", "13-26-412-025-0000")</f>
        <v>0</v>
      </c>
      <c r="V105" t="s">
        <v>954</v>
      </c>
    </row>
    <row r="106" spans="1:22">
      <c r="A106">
        <v>105</v>
      </c>
      <c r="B106" t="s">
        <v>35</v>
      </c>
      <c r="C106" t="s">
        <v>300</v>
      </c>
      <c r="D106" t="s">
        <v>418</v>
      </c>
      <c r="I106">
        <v>5000</v>
      </c>
      <c r="K106" t="s">
        <v>434</v>
      </c>
      <c r="L106">
        <f>HYPERLINK("https://maps.cookcountyil.gov/cookviewer/?search=541 N FAIRBANKS CT", "541 N FAIRBANKS CT")</f>
        <v>0</v>
      </c>
      <c r="N106" t="s">
        <v>598</v>
      </c>
      <c r="P106" t="s">
        <v>691</v>
      </c>
      <c r="Q106" t="s">
        <v>867</v>
      </c>
      <c r="U106">
        <f>HYPERLINK("https://www.cookcountyassessoril.gov/pin/17102100270000", "17-10-210-027-0000"), =HYPERLINK("https://www.cookcountyassessoril.gov/pin/17102100260000", "17-10-210-026-0000")</f>
        <v>0</v>
      </c>
      <c r="V106" t="s">
        <v>954</v>
      </c>
    </row>
    <row r="107" spans="1:22">
      <c r="A107">
        <v>106</v>
      </c>
      <c r="B107" t="s">
        <v>118</v>
      </c>
      <c r="C107" t="s">
        <v>301</v>
      </c>
      <c r="D107" t="s">
        <v>400</v>
      </c>
      <c r="I107">
        <v>7000</v>
      </c>
      <c r="K107" t="s">
        <v>519</v>
      </c>
      <c r="L107">
        <f>HYPERLINK("https://maps.cookcountyil.gov/cookviewer/?search=2032 N MILWAUKEE AVE", "2032 N MILWAUKEE AVE")</f>
        <v>0</v>
      </c>
      <c r="N107" t="s">
        <v>598</v>
      </c>
      <c r="P107" t="s">
        <v>692</v>
      </c>
      <c r="Q107" t="s">
        <v>868</v>
      </c>
      <c r="U107">
        <f>HYPERLINK("https://www.cookcountyassessoril.gov/pin/13362300380000", "13-36-230-038-0000")</f>
        <v>0</v>
      </c>
      <c r="V107" t="s">
        <v>954</v>
      </c>
    </row>
    <row r="108" spans="1:22">
      <c r="A108">
        <v>107</v>
      </c>
      <c r="B108" t="s">
        <v>119</v>
      </c>
      <c r="C108" t="s">
        <v>302</v>
      </c>
      <c r="D108" t="s">
        <v>407</v>
      </c>
      <c r="I108">
        <v>30000</v>
      </c>
      <c r="K108" t="s">
        <v>520</v>
      </c>
      <c r="L108">
        <f>HYPERLINK("https://maps.cookcountyil.gov/cookviewer/?search=2524 N LAWNDALE AVE", "2524 N LAWNDALE AVE")</f>
        <v>0</v>
      </c>
      <c r="N108" t="s">
        <v>598</v>
      </c>
      <c r="P108" t="s">
        <v>693</v>
      </c>
      <c r="Q108" t="s">
        <v>869</v>
      </c>
      <c r="U108">
        <f>HYPERLINK("https://www.cookcountyassessoril.gov/pin/13263200340000", "13-26-320-034-0000")</f>
        <v>0</v>
      </c>
      <c r="V108" t="s">
        <v>954</v>
      </c>
    </row>
    <row r="109" spans="1:22">
      <c r="A109">
        <v>108</v>
      </c>
      <c r="B109" t="s">
        <v>120</v>
      </c>
      <c r="C109" t="s">
        <v>303</v>
      </c>
      <c r="D109" t="s">
        <v>407</v>
      </c>
      <c r="I109">
        <v>2780</v>
      </c>
      <c r="K109" t="s">
        <v>521</v>
      </c>
      <c r="L109">
        <f>HYPERLINK("https://maps.cookcountyil.gov/cookviewer/?search=817 W 33RD ST", "817 W 33RD ST")</f>
        <v>0</v>
      </c>
      <c r="N109" t="s">
        <v>598</v>
      </c>
      <c r="P109" t="s">
        <v>694</v>
      </c>
      <c r="Q109" t="s">
        <v>870</v>
      </c>
      <c r="U109">
        <f>HYPERLINK("https://www.cookcountyassessoril.gov/pin/17322190230000", "17-32-219-023-0000")</f>
        <v>0</v>
      </c>
      <c r="V109" t="s">
        <v>954</v>
      </c>
    </row>
    <row r="110" spans="1:22">
      <c r="A110">
        <v>109</v>
      </c>
      <c r="B110" t="s">
        <v>121</v>
      </c>
      <c r="C110" t="s">
        <v>304</v>
      </c>
      <c r="D110" t="s">
        <v>399</v>
      </c>
      <c r="I110">
        <v>8569</v>
      </c>
      <c r="K110" t="s">
        <v>522</v>
      </c>
      <c r="L110">
        <f>HYPERLINK("https://maps.cookcountyil.gov/cookviewer/?search=7708 S OGLESBY AVE", "7708 S OGLESBY AVE")</f>
        <v>0</v>
      </c>
      <c r="N110" t="s">
        <v>598</v>
      </c>
      <c r="P110" t="s">
        <v>695</v>
      </c>
      <c r="Q110" t="s">
        <v>871</v>
      </c>
      <c r="U110">
        <f>HYPERLINK("https://www.cookcountyassessoril.gov/pin/20254220210000", "20-25-422-021-0000")</f>
        <v>0</v>
      </c>
      <c r="V110" t="s">
        <v>955</v>
      </c>
    </row>
    <row r="111" spans="1:22">
      <c r="A111">
        <v>110</v>
      </c>
      <c r="B111" t="s">
        <v>121</v>
      </c>
      <c r="C111" t="s">
        <v>305</v>
      </c>
      <c r="D111" t="s">
        <v>399</v>
      </c>
      <c r="I111">
        <v>5700</v>
      </c>
      <c r="K111" t="s">
        <v>522</v>
      </c>
      <c r="L111">
        <f>HYPERLINK("https://maps.cookcountyil.gov/cookviewer/?search=7708 S OGLESBY AVE", "7708 S OGLESBY AVE")</f>
        <v>0</v>
      </c>
      <c r="N111" t="s">
        <v>598</v>
      </c>
      <c r="P111" t="s">
        <v>695</v>
      </c>
      <c r="Q111" t="s">
        <v>872</v>
      </c>
      <c r="U111">
        <f>HYPERLINK("https://www.cookcountyassessoril.gov/pin/20254220210000", "20-25-422-021-0000")</f>
        <v>0</v>
      </c>
      <c r="V111" t="s">
        <v>954</v>
      </c>
    </row>
    <row r="112" spans="1:22">
      <c r="A112">
        <v>111</v>
      </c>
      <c r="B112" t="s">
        <v>122</v>
      </c>
      <c r="C112" t="s">
        <v>306</v>
      </c>
      <c r="D112" t="s">
        <v>419</v>
      </c>
      <c r="I112">
        <v>2000</v>
      </c>
      <c r="K112" t="s">
        <v>523</v>
      </c>
      <c r="L112">
        <f>HYPERLINK("https://maps.cookcountyil.gov/cookviewer/?search=4740 N ROCKWELL ST", "4740 N ROCKWELL ST")</f>
        <v>0</v>
      </c>
      <c r="N112" t="s">
        <v>598</v>
      </c>
      <c r="P112" t="s">
        <v>696</v>
      </c>
      <c r="Q112" t="s">
        <v>873</v>
      </c>
      <c r="U112">
        <f>HYPERLINK("https://www.cookcountyassessoril.gov/pin/13132030210000", "13-13-203-021-0000")</f>
        <v>0</v>
      </c>
      <c r="V112" t="s">
        <v>954</v>
      </c>
    </row>
    <row r="113" spans="1:22">
      <c r="A113">
        <v>112</v>
      </c>
      <c r="B113" t="s">
        <v>123</v>
      </c>
      <c r="C113" t="s">
        <v>307</v>
      </c>
      <c r="D113" t="s">
        <v>399</v>
      </c>
      <c r="I113">
        <v>20254</v>
      </c>
      <c r="K113" t="s">
        <v>524</v>
      </c>
      <c r="L113">
        <f>HYPERLINK("https://maps.cookcountyil.gov/cookviewer/?search=8623 S HONORE ST", "8623 S HONORE ST")</f>
        <v>0</v>
      </c>
      <c r="N113" t="s">
        <v>598</v>
      </c>
      <c r="P113" t="s">
        <v>697</v>
      </c>
      <c r="Q113" t="s">
        <v>874</v>
      </c>
      <c r="U113">
        <f>HYPERLINK("https://www.cookcountyassessoril.gov/pin/20314260510000", "20-31-426-051-0000")</f>
        <v>0</v>
      </c>
      <c r="V113" t="s">
        <v>955</v>
      </c>
    </row>
    <row r="114" spans="1:22">
      <c r="A114">
        <v>113</v>
      </c>
      <c r="B114" t="s">
        <v>124</v>
      </c>
      <c r="C114" t="s">
        <v>308</v>
      </c>
      <c r="D114" t="s">
        <v>399</v>
      </c>
      <c r="I114">
        <v>2500</v>
      </c>
      <c r="K114" t="s">
        <v>525</v>
      </c>
      <c r="L114">
        <f>HYPERLINK("https://maps.cookcountyil.gov/cookviewer/?search=2263 N LINCOLN AVE", "2263 N LINCOLN AVE")</f>
        <v>0</v>
      </c>
      <c r="N114" t="s">
        <v>598</v>
      </c>
      <c r="P114" t="s">
        <v>698</v>
      </c>
      <c r="Q114" t="s">
        <v>875</v>
      </c>
      <c r="U114" t="s">
        <v>953</v>
      </c>
      <c r="V114" t="s">
        <v>954</v>
      </c>
    </row>
    <row r="115" spans="1:22">
      <c r="A115">
        <v>114</v>
      </c>
      <c r="B115" t="s">
        <v>123</v>
      </c>
      <c r="C115" t="s">
        <v>309</v>
      </c>
      <c r="D115" t="s">
        <v>399</v>
      </c>
      <c r="I115">
        <v>5000</v>
      </c>
      <c r="K115" t="s">
        <v>524</v>
      </c>
      <c r="L115">
        <f>HYPERLINK("https://maps.cookcountyil.gov/cookviewer/?search=8623 S HONORE ST", "8623 S HONORE ST")</f>
        <v>0</v>
      </c>
      <c r="N115" t="s">
        <v>598</v>
      </c>
      <c r="P115" t="s">
        <v>697</v>
      </c>
      <c r="Q115" t="s">
        <v>822</v>
      </c>
      <c r="U115">
        <f>HYPERLINK("https://www.cookcountyassessoril.gov/pin/20314260510000", "20-31-426-051-0000")</f>
        <v>0</v>
      </c>
      <c r="V115" t="s">
        <v>954</v>
      </c>
    </row>
    <row r="116" spans="1:22">
      <c r="A116">
        <v>115</v>
      </c>
      <c r="B116" t="s">
        <v>125</v>
      </c>
      <c r="C116" t="s">
        <v>310</v>
      </c>
      <c r="D116" t="s">
        <v>408</v>
      </c>
      <c r="I116">
        <v>11737</v>
      </c>
      <c r="K116" t="s">
        <v>526</v>
      </c>
      <c r="L116">
        <f>HYPERLINK("https://maps.cookcountyil.gov/cookviewer/?search=6305 W HUNTINGTON ST", "6305 W HUNTINGTON ST")</f>
        <v>0</v>
      </c>
      <c r="N116" t="s">
        <v>598</v>
      </c>
      <c r="P116" t="s">
        <v>699</v>
      </c>
      <c r="Q116" t="s">
        <v>876</v>
      </c>
      <c r="U116">
        <f>HYPERLINK("https://www.cookcountyassessoril.gov/pin/13051180130000", "13-05-118-013-0000")</f>
        <v>0</v>
      </c>
      <c r="V116" t="s">
        <v>954</v>
      </c>
    </row>
    <row r="117" spans="1:22">
      <c r="A117">
        <v>116</v>
      </c>
      <c r="B117" t="s">
        <v>126</v>
      </c>
      <c r="C117" t="s">
        <v>311</v>
      </c>
      <c r="D117" t="s">
        <v>399</v>
      </c>
      <c r="I117">
        <v>10906</v>
      </c>
      <c r="K117" t="s">
        <v>527</v>
      </c>
      <c r="L117">
        <f>HYPERLINK("https://maps.cookcountyil.gov/cookviewer/?search=7938 S COLFAX AVE", "7938 S COLFAX AVE")</f>
        <v>0</v>
      </c>
      <c r="N117" t="s">
        <v>598</v>
      </c>
      <c r="P117" t="s">
        <v>700</v>
      </c>
      <c r="Q117" t="s">
        <v>877</v>
      </c>
      <c r="U117">
        <f>HYPERLINK("https://www.cookcountyassessoril.gov/pin/21311030420000", "21-31-103-042-0000")</f>
        <v>0</v>
      </c>
      <c r="V117" t="s">
        <v>955</v>
      </c>
    </row>
    <row r="118" spans="1:22">
      <c r="A118">
        <v>117</v>
      </c>
      <c r="B118" t="s">
        <v>127</v>
      </c>
      <c r="C118" t="s">
        <v>312</v>
      </c>
      <c r="D118" t="s">
        <v>399</v>
      </c>
      <c r="I118">
        <v>23370</v>
      </c>
      <c r="K118" t="s">
        <v>528</v>
      </c>
      <c r="L118">
        <f>HYPERLINK("https://maps.cookcountyil.gov/cookviewer/?search=7936 S CONSTANCE AVE", "7936 S CONSTANCE AVE")</f>
        <v>0</v>
      </c>
      <c r="N118" t="s">
        <v>598</v>
      </c>
      <c r="P118" t="s">
        <v>701</v>
      </c>
      <c r="Q118" t="s">
        <v>878</v>
      </c>
      <c r="U118">
        <f>HYPERLINK("https://www.cookcountyassessoril.gov/pin/20361020310000", "20-36-102-031-0000")</f>
        <v>0</v>
      </c>
      <c r="V118" t="s">
        <v>955</v>
      </c>
    </row>
    <row r="119" spans="1:22">
      <c r="A119">
        <v>118</v>
      </c>
      <c r="B119" t="s">
        <v>126</v>
      </c>
      <c r="C119" t="s">
        <v>313</v>
      </c>
      <c r="D119" t="s">
        <v>399</v>
      </c>
      <c r="I119">
        <v>5000</v>
      </c>
      <c r="K119" t="s">
        <v>527</v>
      </c>
      <c r="L119">
        <f>HYPERLINK("https://maps.cookcountyil.gov/cookviewer/?search=7938 S COLFAX AVE", "7938 S COLFAX AVE")</f>
        <v>0</v>
      </c>
      <c r="N119" t="s">
        <v>598</v>
      </c>
      <c r="P119" t="s">
        <v>700</v>
      </c>
      <c r="Q119" t="s">
        <v>872</v>
      </c>
      <c r="U119">
        <f>HYPERLINK("https://www.cookcountyassessoril.gov/pin/21311030420000", "21-31-103-042-0000")</f>
        <v>0</v>
      </c>
      <c r="V119" t="s">
        <v>954</v>
      </c>
    </row>
    <row r="120" spans="1:22">
      <c r="A120">
        <v>119</v>
      </c>
      <c r="B120" t="s">
        <v>128</v>
      </c>
      <c r="C120" t="s">
        <v>314</v>
      </c>
      <c r="D120" t="s">
        <v>399</v>
      </c>
      <c r="I120">
        <v>6160</v>
      </c>
      <c r="K120" t="s">
        <v>529</v>
      </c>
      <c r="L120">
        <f>HYPERLINK("https://maps.cookcountyil.gov/cookviewer/?search=3716 N PAGE AVE", "3716 N PAGE AVE")</f>
        <v>0</v>
      </c>
      <c r="N120" t="s">
        <v>598</v>
      </c>
      <c r="P120" t="s">
        <v>702</v>
      </c>
      <c r="Q120" t="s">
        <v>851</v>
      </c>
      <c r="U120">
        <f>HYPERLINK("https://www.cookcountyassessoril.gov/pin/12232220410000", "12-23-222-041-0000")</f>
        <v>0</v>
      </c>
      <c r="V120" t="s">
        <v>954</v>
      </c>
    </row>
    <row r="121" spans="1:22">
      <c r="A121">
        <v>120</v>
      </c>
      <c r="B121" t="s">
        <v>129</v>
      </c>
      <c r="C121" t="s">
        <v>315</v>
      </c>
      <c r="D121" t="s">
        <v>408</v>
      </c>
      <c r="I121">
        <v>1980</v>
      </c>
      <c r="K121" t="s">
        <v>530</v>
      </c>
      <c r="L121">
        <f>HYPERLINK("https://maps.cookcountyil.gov/cookviewer/?search=5415 N SHERIDAN RD", "5415 N SHERIDAN RD")</f>
        <v>0</v>
      </c>
      <c r="N121" t="s">
        <v>598</v>
      </c>
      <c r="P121" t="s">
        <v>703</v>
      </c>
      <c r="Q121" t="s">
        <v>879</v>
      </c>
      <c r="U121" t="s">
        <v>953</v>
      </c>
      <c r="V121" t="s">
        <v>954</v>
      </c>
    </row>
    <row r="122" spans="1:22">
      <c r="A122">
        <v>121</v>
      </c>
      <c r="B122" t="s">
        <v>130</v>
      </c>
      <c r="C122" t="s">
        <v>316</v>
      </c>
      <c r="D122" t="s">
        <v>399</v>
      </c>
      <c r="I122">
        <v>5700</v>
      </c>
      <c r="K122" t="s">
        <v>531</v>
      </c>
      <c r="L122">
        <f>HYPERLINK("https://maps.cookcountyil.gov/cookviewer/?search=8815 S LEAVITT ST", "8815 S LEAVITT ST")</f>
        <v>0</v>
      </c>
      <c r="N122" t="s">
        <v>598</v>
      </c>
      <c r="P122" t="s">
        <v>704</v>
      </c>
      <c r="Q122" t="s">
        <v>851</v>
      </c>
      <c r="U122" t="s">
        <v>953</v>
      </c>
      <c r="V122" t="s">
        <v>954</v>
      </c>
    </row>
    <row r="123" spans="1:22">
      <c r="A123">
        <v>122</v>
      </c>
      <c r="B123" t="s">
        <v>131</v>
      </c>
      <c r="C123" t="s">
        <v>317</v>
      </c>
      <c r="D123" t="s">
        <v>399</v>
      </c>
      <c r="I123">
        <v>12464</v>
      </c>
      <c r="K123" t="s">
        <v>532</v>
      </c>
      <c r="L123">
        <f>HYPERLINK("https://maps.cookcountyil.gov/cookviewer/?search=7448 N OKETO AVE", "7448 N OKETO AVE")</f>
        <v>0</v>
      </c>
      <c r="N123" t="s">
        <v>598</v>
      </c>
      <c r="P123" t="s">
        <v>705</v>
      </c>
      <c r="Q123" t="s">
        <v>880</v>
      </c>
      <c r="U123">
        <f>HYPERLINK("https://www.cookcountyassessoril.gov/pin/09254120480000", "09-25-412-048-0000")</f>
        <v>0</v>
      </c>
      <c r="V123" t="s">
        <v>955</v>
      </c>
    </row>
    <row r="124" spans="1:22">
      <c r="A124">
        <v>123</v>
      </c>
      <c r="B124" t="s">
        <v>132</v>
      </c>
      <c r="C124" t="s">
        <v>318</v>
      </c>
      <c r="D124" t="s">
        <v>399</v>
      </c>
      <c r="I124">
        <v>11890</v>
      </c>
      <c r="K124" t="s">
        <v>533</v>
      </c>
      <c r="L124">
        <f>HYPERLINK("https://maps.cookcountyil.gov/cookviewer/?search=411 W ONTARIO ST", "411 W ONTARIO ST")</f>
        <v>0</v>
      </c>
      <c r="N124" t="s">
        <v>598</v>
      </c>
      <c r="P124" t="s">
        <v>706</v>
      </c>
      <c r="Q124" t="s">
        <v>881</v>
      </c>
      <c r="U124" t="s">
        <v>953</v>
      </c>
      <c r="V124" t="s">
        <v>954</v>
      </c>
    </row>
    <row r="125" spans="1:22">
      <c r="A125">
        <v>124</v>
      </c>
      <c r="B125" t="s">
        <v>131</v>
      </c>
      <c r="C125" t="s">
        <v>319</v>
      </c>
      <c r="D125" t="s">
        <v>399</v>
      </c>
      <c r="I125">
        <v>5000</v>
      </c>
      <c r="K125" t="s">
        <v>532</v>
      </c>
      <c r="L125">
        <f>HYPERLINK("https://maps.cookcountyil.gov/cookviewer/?search=7448 N OKETO AVE", "7448 N OKETO AVE")</f>
        <v>0</v>
      </c>
      <c r="N125" t="s">
        <v>598</v>
      </c>
      <c r="P125" t="s">
        <v>705</v>
      </c>
      <c r="Q125" t="s">
        <v>819</v>
      </c>
      <c r="U125">
        <f>HYPERLINK("https://www.cookcountyassessoril.gov/pin/09254120480000", "09-25-412-048-0000")</f>
        <v>0</v>
      </c>
      <c r="V125" t="s">
        <v>954</v>
      </c>
    </row>
    <row r="126" spans="1:22">
      <c r="A126">
        <v>125</v>
      </c>
      <c r="B126" t="s">
        <v>133</v>
      </c>
      <c r="C126" t="s">
        <v>320</v>
      </c>
      <c r="D126" t="s">
        <v>415</v>
      </c>
      <c r="I126">
        <v>175000</v>
      </c>
      <c r="K126" t="s">
        <v>534</v>
      </c>
      <c r="L126">
        <f>HYPERLINK("https://maps.cookcountyil.gov/cookviewer/?search=3351 N ELSTON AVE", "3351 N ELSTON AVE")</f>
        <v>0</v>
      </c>
      <c r="N126" t="s">
        <v>598</v>
      </c>
      <c r="P126" t="s">
        <v>707</v>
      </c>
      <c r="Q126" t="s">
        <v>882</v>
      </c>
      <c r="U126">
        <f>HYPERLINK("https://www.cookcountyassessoril.gov/pin/13243140680000", "13-24-314-068-0000")</f>
        <v>0</v>
      </c>
      <c r="V126" t="s">
        <v>955</v>
      </c>
    </row>
    <row r="127" spans="1:22">
      <c r="A127">
        <v>126</v>
      </c>
      <c r="B127" t="s">
        <v>134</v>
      </c>
      <c r="C127" t="s">
        <v>321</v>
      </c>
      <c r="D127" t="s">
        <v>403</v>
      </c>
      <c r="I127">
        <v>45000</v>
      </c>
      <c r="K127" t="s">
        <v>535</v>
      </c>
      <c r="L127">
        <f>HYPERLINK("https://maps.cookcountyil.gov/cookviewer/?search=5542 W BYRON ST", "5542 W BYRON ST")</f>
        <v>0</v>
      </c>
      <c r="N127" t="s">
        <v>598</v>
      </c>
      <c r="P127" t="s">
        <v>708</v>
      </c>
      <c r="Q127" t="s">
        <v>883</v>
      </c>
      <c r="U127">
        <f>HYPERLINK("https://www.cookcountyassessoril.gov/pin/13211040260000", "13-21-104-026-0000")</f>
        <v>0</v>
      </c>
      <c r="V127" t="s">
        <v>954</v>
      </c>
    </row>
    <row r="128" spans="1:22">
      <c r="A128">
        <v>127</v>
      </c>
      <c r="B128" t="s">
        <v>135</v>
      </c>
      <c r="C128" t="s">
        <v>322</v>
      </c>
      <c r="D128" t="s">
        <v>411</v>
      </c>
      <c r="I128">
        <v>1000</v>
      </c>
      <c r="K128" t="s">
        <v>536</v>
      </c>
      <c r="L128">
        <f>HYPERLINK("https://maps.cookcountyil.gov/cookviewer/?search=1011 S MONITOR AVE", "1011 S MONITOR AVE")</f>
        <v>0</v>
      </c>
      <c r="N128" t="s">
        <v>598</v>
      </c>
      <c r="P128" t="s">
        <v>709</v>
      </c>
      <c r="Q128" t="s">
        <v>884</v>
      </c>
      <c r="U128">
        <f>HYPERLINK("https://www.cookcountyassessoril.gov/pin/16174080040000", "16-17-408-004-0000")</f>
        <v>0</v>
      </c>
      <c r="V128" t="s">
        <v>954</v>
      </c>
    </row>
    <row r="129" spans="1:22">
      <c r="A129">
        <v>128</v>
      </c>
      <c r="B129" t="s">
        <v>136</v>
      </c>
      <c r="C129" t="s">
        <v>323</v>
      </c>
      <c r="D129" t="s">
        <v>408</v>
      </c>
      <c r="I129">
        <v>2000</v>
      </c>
      <c r="K129" t="s">
        <v>537</v>
      </c>
      <c r="L129">
        <f>HYPERLINK("https://maps.cookcountyil.gov/cookviewer/?search=9258 S BISHOP ST", "9258 S BISHOP ST")</f>
        <v>0</v>
      </c>
      <c r="N129" t="s">
        <v>598</v>
      </c>
      <c r="P129" t="s">
        <v>710</v>
      </c>
      <c r="Q129" t="s">
        <v>885</v>
      </c>
      <c r="U129">
        <f>HYPERLINK("https://www.cookcountyassessoril.gov/pin/25053100490000", "25-05-310-049-0000")</f>
        <v>0</v>
      </c>
      <c r="V129" t="s">
        <v>954</v>
      </c>
    </row>
    <row r="130" spans="1:22">
      <c r="A130">
        <v>129</v>
      </c>
      <c r="B130" t="s">
        <v>137</v>
      </c>
      <c r="C130" t="s">
        <v>324</v>
      </c>
      <c r="D130" t="s">
        <v>399</v>
      </c>
      <c r="I130">
        <v>29900</v>
      </c>
      <c r="K130" t="s">
        <v>538</v>
      </c>
      <c r="L130">
        <f>HYPERLINK("https://maps.cookcountyil.gov/cookviewer/?search=3119 N SEMINARY AVE", "3119 N SEMINARY AVE")</f>
        <v>0</v>
      </c>
      <c r="N130" t="s">
        <v>598</v>
      </c>
      <c r="P130" t="s">
        <v>711</v>
      </c>
      <c r="Q130" t="s">
        <v>886</v>
      </c>
      <c r="U130">
        <f>HYPERLINK("https://www.cookcountyassessoril.gov/pin/14292020170000", "14-29-202-017-0000")</f>
        <v>0</v>
      </c>
      <c r="V130" t="s">
        <v>955</v>
      </c>
    </row>
    <row r="131" spans="1:22">
      <c r="A131">
        <v>130</v>
      </c>
      <c r="B131" t="s">
        <v>138</v>
      </c>
      <c r="C131" t="s">
        <v>325</v>
      </c>
      <c r="D131" t="s">
        <v>399</v>
      </c>
      <c r="I131">
        <v>21000</v>
      </c>
      <c r="K131" t="s">
        <v>539</v>
      </c>
      <c r="L131">
        <f>HYPERLINK("https://maps.cookcountyil.gov/cookviewer/?search=454 W 29TH ST", "454 W 29TH ST")</f>
        <v>0</v>
      </c>
      <c r="N131" t="s">
        <v>598</v>
      </c>
      <c r="P131" t="s">
        <v>712</v>
      </c>
      <c r="Q131" t="s">
        <v>887</v>
      </c>
      <c r="U131">
        <f>HYPERLINK("https://www.cookcountyassessoril.gov/pin/17283160230000", "17-28-316-023-0000")</f>
        <v>0</v>
      </c>
      <c r="V131" t="s">
        <v>955</v>
      </c>
    </row>
    <row r="132" spans="1:22">
      <c r="A132">
        <v>131</v>
      </c>
      <c r="B132" t="s">
        <v>139</v>
      </c>
      <c r="C132" t="s">
        <v>326</v>
      </c>
      <c r="D132" t="s">
        <v>399</v>
      </c>
      <c r="I132">
        <v>40000</v>
      </c>
      <c r="K132" t="s">
        <v>540</v>
      </c>
      <c r="L132">
        <f>HYPERLINK("https://maps.cookcountyil.gov/cookviewer/?search=4621 S SAWYER AVE", "4621 S SAWYER AVE")</f>
        <v>0</v>
      </c>
      <c r="N132" t="s">
        <v>598</v>
      </c>
      <c r="P132" t="s">
        <v>713</v>
      </c>
      <c r="Q132" t="s">
        <v>888</v>
      </c>
      <c r="U132" t="s">
        <v>953</v>
      </c>
      <c r="V132" t="s">
        <v>955</v>
      </c>
    </row>
    <row r="133" spans="1:22">
      <c r="A133">
        <v>132</v>
      </c>
      <c r="B133" t="s">
        <v>140</v>
      </c>
      <c r="C133" t="s">
        <v>327</v>
      </c>
      <c r="D133" t="s">
        <v>399</v>
      </c>
      <c r="I133">
        <v>65000</v>
      </c>
      <c r="K133" t="s">
        <v>541</v>
      </c>
      <c r="L133">
        <f>HYPERLINK("https://maps.cookcountyil.gov/cookviewer/?search=733 W ROSCOE ST", "733 W ROSCOE ST")</f>
        <v>0</v>
      </c>
      <c r="N133" t="s">
        <v>598</v>
      </c>
      <c r="P133" t="s">
        <v>714</v>
      </c>
      <c r="Q133" t="s">
        <v>889</v>
      </c>
      <c r="U133">
        <f>HYPERLINK("https://www.cookcountyassessoril.gov/pin/14213080631006", "14-21-308-063-1006"), =HYPERLINK("https://www.cookcountyassessoril.gov/pin/14213080631004", "14-21-308-063-1004"), =HYPERLINK("https://www.cookcountyassessoril.gov/pin/14213080631001", "14-21-308-063-1001"), =HYPERLINK("https://www.cookcountyassessoril.gov/pin/14213080631005", "14-21-308-063-1005"), =HYPERLINK("https://www.cookcountyassessoril.gov/pin/14213080631002", "14-21-308-063-1002")</f>
        <v>0</v>
      </c>
      <c r="V133" t="s">
        <v>955</v>
      </c>
    </row>
    <row r="134" spans="1:22">
      <c r="A134">
        <v>133</v>
      </c>
      <c r="B134" t="s">
        <v>141</v>
      </c>
      <c r="C134" t="s">
        <v>328</v>
      </c>
      <c r="D134" t="s">
        <v>407</v>
      </c>
      <c r="I134">
        <v>35626</v>
      </c>
      <c r="K134" t="s">
        <v>542</v>
      </c>
      <c r="L134">
        <f>HYPERLINK("https://maps.cookcountyil.gov/cookviewer/?search=4257 N ASHLAND AVE", "4257 N ASHLAND AVE")</f>
        <v>0</v>
      </c>
      <c r="N134" t="s">
        <v>598</v>
      </c>
      <c r="P134" t="s">
        <v>715</v>
      </c>
      <c r="Q134" t="s">
        <v>890</v>
      </c>
      <c r="U134" t="s">
        <v>953</v>
      </c>
      <c r="V134" t="s">
        <v>954</v>
      </c>
    </row>
    <row r="135" spans="1:22">
      <c r="A135">
        <v>134</v>
      </c>
      <c r="B135" t="s">
        <v>142</v>
      </c>
      <c r="C135" t="s">
        <v>329</v>
      </c>
      <c r="D135" t="s">
        <v>407</v>
      </c>
      <c r="I135">
        <v>10000</v>
      </c>
      <c r="K135" t="s">
        <v>543</v>
      </c>
      <c r="L135">
        <f>HYPERLINK("https://maps.cookcountyil.gov/cookviewer/?search=4340 W 47TH ST", "4340 W 47TH ST")</f>
        <v>0</v>
      </c>
      <c r="N135" t="s">
        <v>598</v>
      </c>
      <c r="P135" t="s">
        <v>716</v>
      </c>
      <c r="Q135" t="s">
        <v>891</v>
      </c>
      <c r="U135">
        <f>HYPERLINK("https://www.cookcountyassessoril.gov/pin/19034002000000", "19-03-400-200-0000")</f>
        <v>0</v>
      </c>
      <c r="V135" t="s">
        <v>954</v>
      </c>
    </row>
    <row r="136" spans="1:22">
      <c r="A136">
        <v>135</v>
      </c>
      <c r="B136" t="s">
        <v>114</v>
      </c>
      <c r="C136" t="s">
        <v>330</v>
      </c>
      <c r="D136" t="s">
        <v>399</v>
      </c>
      <c r="I136">
        <v>450000</v>
      </c>
      <c r="K136" t="s">
        <v>515</v>
      </c>
      <c r="L136">
        <f>HYPERLINK("https://maps.cookcountyil.gov/cookviewer/?search=6560 W FULLERTON AVE", "6560 W FULLERTON AVE")</f>
        <v>0</v>
      </c>
      <c r="N136" t="s">
        <v>598</v>
      </c>
      <c r="P136" t="s">
        <v>687</v>
      </c>
      <c r="Q136" t="s">
        <v>892</v>
      </c>
      <c r="U136" t="s">
        <v>953</v>
      </c>
      <c r="V136" t="s">
        <v>954</v>
      </c>
    </row>
    <row r="137" spans="1:22">
      <c r="A137">
        <v>136</v>
      </c>
      <c r="B137" t="s">
        <v>143</v>
      </c>
      <c r="C137" t="s">
        <v>331</v>
      </c>
      <c r="D137" t="s">
        <v>398</v>
      </c>
      <c r="I137">
        <v>24730</v>
      </c>
      <c r="K137" t="s">
        <v>544</v>
      </c>
      <c r="L137">
        <f>HYPERLINK("https://maps.cookcountyil.gov/cookviewer/?search=1125 E HYDE PARK BLVD", "1125 E HYDE PARK BLVD")</f>
        <v>0</v>
      </c>
      <c r="N137" t="s">
        <v>598</v>
      </c>
      <c r="P137" t="s">
        <v>717</v>
      </c>
      <c r="Q137" t="s">
        <v>893</v>
      </c>
      <c r="U137" t="s">
        <v>953</v>
      </c>
      <c r="V137" t="s">
        <v>954</v>
      </c>
    </row>
    <row r="138" spans="1:22">
      <c r="A138">
        <v>137</v>
      </c>
      <c r="B138" t="s">
        <v>144</v>
      </c>
      <c r="C138" t="s">
        <v>332</v>
      </c>
      <c r="D138" t="s">
        <v>418</v>
      </c>
      <c r="I138">
        <v>8000</v>
      </c>
      <c r="K138" t="s">
        <v>545</v>
      </c>
      <c r="L138">
        <f>HYPERLINK("https://maps.cookcountyil.gov/cookviewer/?search=411 N PAULINA ST", "411 N PAULINA ST")</f>
        <v>0</v>
      </c>
      <c r="N138" t="s">
        <v>598</v>
      </c>
      <c r="P138" t="s">
        <v>718</v>
      </c>
      <c r="Q138" t="s">
        <v>894</v>
      </c>
      <c r="U138">
        <f>HYPERLINK("https://www.cookcountyassessoril.gov/pin/17072400280000", "17-07-240-028-0000")</f>
        <v>0</v>
      </c>
      <c r="V138" t="s">
        <v>954</v>
      </c>
    </row>
    <row r="139" spans="1:22">
      <c r="A139">
        <v>138</v>
      </c>
      <c r="B139" t="s">
        <v>145</v>
      </c>
      <c r="C139" t="s">
        <v>333</v>
      </c>
      <c r="D139" t="s">
        <v>398</v>
      </c>
      <c r="I139">
        <v>5000</v>
      </c>
      <c r="K139" t="s">
        <v>546</v>
      </c>
      <c r="L139">
        <f>HYPERLINK("https://maps.cookcountyil.gov/cookviewer/?search=2189 W BOWLER ST", "2189 W BOWLER ST")</f>
        <v>0</v>
      </c>
      <c r="N139" t="s">
        <v>598</v>
      </c>
      <c r="P139" t="s">
        <v>719</v>
      </c>
      <c r="Q139" t="s">
        <v>895</v>
      </c>
      <c r="U139" t="s">
        <v>953</v>
      </c>
      <c r="V139" t="s">
        <v>954</v>
      </c>
    </row>
    <row r="140" spans="1:22">
      <c r="A140">
        <v>139</v>
      </c>
      <c r="B140" t="s">
        <v>146</v>
      </c>
      <c r="C140" t="s">
        <v>334</v>
      </c>
      <c r="D140" t="s">
        <v>416</v>
      </c>
      <c r="I140">
        <v>4000</v>
      </c>
      <c r="K140" t="s">
        <v>547</v>
      </c>
      <c r="L140">
        <f>HYPERLINK("https://maps.cookcountyil.gov/cookviewer/?search=3716 N MOZART ST", "3716 N MOZART ST")</f>
        <v>0</v>
      </c>
      <c r="N140" t="s">
        <v>598</v>
      </c>
      <c r="P140" t="s">
        <v>720</v>
      </c>
      <c r="Q140" t="s">
        <v>896</v>
      </c>
      <c r="U140">
        <f>HYPERLINK("https://www.cookcountyassessoril.gov/pin/13241220380000", "13-24-122-038-0000")</f>
        <v>0</v>
      </c>
      <c r="V140" t="s">
        <v>954</v>
      </c>
    </row>
    <row r="141" spans="1:22">
      <c r="A141">
        <v>140</v>
      </c>
      <c r="B141" t="s">
        <v>147</v>
      </c>
      <c r="C141" t="s">
        <v>335</v>
      </c>
      <c r="D141" t="s">
        <v>416</v>
      </c>
      <c r="I141">
        <v>4000</v>
      </c>
      <c r="K141" t="s">
        <v>548</v>
      </c>
      <c r="L141">
        <f>HYPERLINK("https://maps.cookcountyil.gov/cookviewer/?search=3530 N ODELL AVE", "3530 N ODELL AVE")</f>
        <v>0</v>
      </c>
      <c r="N141" t="s">
        <v>598</v>
      </c>
      <c r="P141" t="s">
        <v>720</v>
      </c>
      <c r="Q141" t="s">
        <v>896</v>
      </c>
      <c r="U141">
        <f>HYPERLINK("https://www.cookcountyassessoril.gov/pin/12244040220000", "12-24-404-022-0000")</f>
        <v>0</v>
      </c>
      <c r="V141" t="s">
        <v>954</v>
      </c>
    </row>
    <row r="142" spans="1:22">
      <c r="A142">
        <v>141</v>
      </c>
      <c r="B142" t="s">
        <v>148</v>
      </c>
      <c r="C142" t="s">
        <v>336</v>
      </c>
      <c r="D142" t="s">
        <v>410</v>
      </c>
      <c r="I142">
        <v>200000</v>
      </c>
      <c r="K142" t="s">
        <v>549</v>
      </c>
      <c r="L142">
        <f>HYPERLINK("https://maps.cookcountyil.gov/cookviewer/?search=5740 N SHERIDAN RD", "5740 N SHERIDAN RD")</f>
        <v>0</v>
      </c>
      <c r="N142" t="s">
        <v>598</v>
      </c>
      <c r="P142" t="s">
        <v>721</v>
      </c>
      <c r="Q142" t="s">
        <v>897</v>
      </c>
      <c r="U142">
        <f>HYPERLINK("https://www.cookcountyassessoril.gov/pin/14054060221061", "14-05-406-022-1061"), =HYPERLINK("https://www.cookcountyassessoril.gov/pin/14054060221063", "14-05-406-022-1063"), =HYPERLINK("https://www.cookcountyassessoril.gov/pin/14054060221066", "14-05-406-022-1066"), =HYPERLINK("https://www.cookcountyassessoril.gov/pin/14054060221071", "14-05-406-022-1071"), =HYPERLINK("https://www.cookcountyassessoril.gov/pin/14054060221070", "14-05-406-022-1070"), =HYPERLINK("https://www.cookcountyassessoril.gov/pin/14054060221065", "14-05-406-022-1065"), =HYPERLINK("https://www.cookcountyassessoril.gov/pin/14054060221041", "14-05-406-022-1041"), =HYPERLINK("https://www.cookcountyassessoril.gov/pin/14054060221029", "14-05-406-022-1029"), =HYPERLINK("https://www.cookcountyassessoril.gov/pin/14054060221055", "14-05-406-022-1055"), =HYPERLINK("https://www.cookcountyassessoril.gov/pin/14054060221064", "14-05-406-022-1064"), =HYPERLINK("https://www.cookcountyassessoril.gov/pin/14054060221060", "14-05-406-022-1060")</f>
        <v>0</v>
      </c>
      <c r="V142" t="s">
        <v>954</v>
      </c>
    </row>
    <row r="143" spans="1:22">
      <c r="A143">
        <v>142</v>
      </c>
      <c r="B143" t="s">
        <v>149</v>
      </c>
      <c r="C143" t="s">
        <v>337</v>
      </c>
      <c r="D143" t="s">
        <v>411</v>
      </c>
      <c r="I143">
        <v>35575</v>
      </c>
      <c r="K143" t="s">
        <v>550</v>
      </c>
      <c r="L143">
        <f>HYPERLINK("https://maps.cookcountyil.gov/cookviewer/?search=3460 N OZARK AVE", "3460 N OZARK AVE")</f>
        <v>0</v>
      </c>
      <c r="N143" t="s">
        <v>598</v>
      </c>
      <c r="P143" t="s">
        <v>722</v>
      </c>
      <c r="Q143" t="s">
        <v>898</v>
      </c>
      <c r="U143">
        <f>HYPERLINK("https://www.cookcountyassessoril.gov/pin/12243120410000", "12-24-312-041-0000")</f>
        <v>0</v>
      </c>
      <c r="V143" t="s">
        <v>955</v>
      </c>
    </row>
    <row r="144" spans="1:22">
      <c r="A144">
        <v>143</v>
      </c>
      <c r="B144" t="s">
        <v>150</v>
      </c>
      <c r="C144" t="s">
        <v>338</v>
      </c>
      <c r="D144" t="s">
        <v>400</v>
      </c>
      <c r="I144">
        <v>1000</v>
      </c>
      <c r="K144" t="s">
        <v>551</v>
      </c>
      <c r="L144">
        <f>HYPERLINK("https://maps.cookcountyil.gov/cookviewer/?search=2456 N ROCKWELL ST", "2456 N ROCKWELL ST")</f>
        <v>0</v>
      </c>
      <c r="N144" t="s">
        <v>598</v>
      </c>
      <c r="P144" t="s">
        <v>723</v>
      </c>
      <c r="Q144" t="s">
        <v>899</v>
      </c>
      <c r="U144">
        <f>HYPERLINK("https://www.cookcountyassessoril.gov/pin/13254270170000", "13-25-427-017-0000")</f>
        <v>0</v>
      </c>
      <c r="V144" t="s">
        <v>954</v>
      </c>
    </row>
    <row r="145" spans="1:22">
      <c r="A145">
        <v>144</v>
      </c>
      <c r="B145" t="s">
        <v>151</v>
      </c>
      <c r="C145" t="s">
        <v>339</v>
      </c>
      <c r="D145" t="s">
        <v>407</v>
      </c>
      <c r="I145">
        <v>18000</v>
      </c>
      <c r="K145" t="s">
        <v>552</v>
      </c>
      <c r="L145">
        <f>HYPERLINK("https://maps.cookcountyil.gov/cookviewer/?search=1 S WACKER DR", "1 S WACKER DR")</f>
        <v>0</v>
      </c>
      <c r="N145" t="s">
        <v>598</v>
      </c>
      <c r="P145" t="s">
        <v>724</v>
      </c>
      <c r="Q145" t="s">
        <v>900</v>
      </c>
      <c r="U145">
        <f>HYPERLINK("https://www.cookcountyassessoril.gov/pin/17162010050000", "17-16-201-005-0000"), =HYPERLINK("https://www.cookcountyassessoril.gov/pin/17162010040000", "17-16-201-004-0000"), =HYPERLINK("https://www.cookcountyassessoril.gov/pin/17162010020000", "17-16-201-002-0000"), =HYPERLINK("https://www.cookcountyassessoril.gov/pin/17162010010000", "17-16-201-001-0000"), =HYPERLINK("https://www.cookcountyassessoril.gov/pin/17162010030000", "17-16-201-003-0000"), =HYPERLINK("https://www.cookcountyassessoril.gov/pin/17162010060000", "17-16-201-006-0000")</f>
        <v>0</v>
      </c>
      <c r="V145" t="s">
        <v>954</v>
      </c>
    </row>
    <row r="146" spans="1:22">
      <c r="A146">
        <v>145</v>
      </c>
      <c r="B146" t="s">
        <v>152</v>
      </c>
      <c r="C146" t="s">
        <v>340</v>
      </c>
      <c r="D146" t="s">
        <v>412</v>
      </c>
      <c r="I146">
        <v>94249</v>
      </c>
      <c r="K146" t="s">
        <v>553</v>
      </c>
      <c r="L146">
        <f>HYPERLINK("https://maps.cookcountyil.gov/cookviewer/?search=6336 N MILWAUKEE AVE", "6336 N MILWAUKEE AVE")</f>
        <v>0</v>
      </c>
      <c r="N146" t="s">
        <v>598</v>
      </c>
      <c r="P146" t="s">
        <v>725</v>
      </c>
      <c r="Q146" t="s">
        <v>901</v>
      </c>
      <c r="U146" t="s">
        <v>953</v>
      </c>
      <c r="V146" t="s">
        <v>954</v>
      </c>
    </row>
    <row r="147" spans="1:22">
      <c r="A147">
        <v>146</v>
      </c>
      <c r="B147" t="s">
        <v>153</v>
      </c>
      <c r="C147" t="s">
        <v>341</v>
      </c>
      <c r="D147" t="s">
        <v>399</v>
      </c>
      <c r="I147">
        <v>14000</v>
      </c>
      <c r="K147" t="s">
        <v>554</v>
      </c>
      <c r="L147">
        <f>HYPERLINK("https://maps.cookcountyil.gov/cookviewer/?search=4516 N MONTICELLO AVE", "4516 N MONTICELLO AVE")</f>
        <v>0</v>
      </c>
      <c r="N147" t="s">
        <v>598</v>
      </c>
      <c r="P147" t="s">
        <v>726</v>
      </c>
      <c r="Q147" t="s">
        <v>902</v>
      </c>
      <c r="U147">
        <f>HYPERLINK("https://www.cookcountyassessoril.gov/pin/13141190300000", "13-14-119-030-0000")</f>
        <v>0</v>
      </c>
      <c r="V147" t="s">
        <v>954</v>
      </c>
    </row>
    <row r="148" spans="1:22">
      <c r="A148">
        <v>147</v>
      </c>
      <c r="B148" t="s">
        <v>154</v>
      </c>
      <c r="C148" t="s">
        <v>342</v>
      </c>
      <c r="D148" t="s">
        <v>399</v>
      </c>
      <c r="I148">
        <v>100</v>
      </c>
      <c r="K148" t="s">
        <v>555</v>
      </c>
      <c r="L148">
        <f>HYPERLINK("https://maps.cookcountyil.gov/cookviewer/?search=5212 N LARNED AVE", "5212 N LARNED AVE")</f>
        <v>0</v>
      </c>
      <c r="N148" t="s">
        <v>598</v>
      </c>
      <c r="P148" t="s">
        <v>727</v>
      </c>
      <c r="Q148" t="s">
        <v>903</v>
      </c>
      <c r="U148">
        <f>HYPERLINK("https://www.cookcountyassessoril.gov/pin/13091320490000", "13-09-132-049-0000")</f>
        <v>0</v>
      </c>
      <c r="V148" t="s">
        <v>955</v>
      </c>
    </row>
    <row r="149" spans="1:22">
      <c r="A149">
        <v>148</v>
      </c>
      <c r="B149" t="s">
        <v>155</v>
      </c>
      <c r="C149" t="s">
        <v>343</v>
      </c>
      <c r="D149" t="s">
        <v>399</v>
      </c>
      <c r="I149">
        <v>36694</v>
      </c>
      <c r="K149" t="s">
        <v>556</v>
      </c>
      <c r="L149">
        <f>HYPERLINK("https://maps.cookcountyil.gov/cookviewer/?search=1749 W NEWPORT AVE", "1749 W NEWPORT AVE")</f>
        <v>0</v>
      </c>
      <c r="N149" t="s">
        <v>598</v>
      </c>
      <c r="P149" t="s">
        <v>728</v>
      </c>
      <c r="Q149" t="s">
        <v>904</v>
      </c>
      <c r="U149" t="s">
        <v>953</v>
      </c>
      <c r="V149" t="s">
        <v>955</v>
      </c>
    </row>
    <row r="150" spans="1:22">
      <c r="A150">
        <v>149</v>
      </c>
      <c r="B150" t="s">
        <v>156</v>
      </c>
      <c r="C150" t="s">
        <v>344</v>
      </c>
      <c r="D150" t="s">
        <v>404</v>
      </c>
      <c r="I150">
        <v>12750</v>
      </c>
      <c r="K150" t="s">
        <v>557</v>
      </c>
      <c r="L150">
        <f>HYPERLINK("https://maps.cookcountyil.gov/cookviewer/?search=6518 N GREENVIEW AVE", "6518 N GREENVIEW AVE")</f>
        <v>0</v>
      </c>
      <c r="N150" t="s">
        <v>598</v>
      </c>
      <c r="P150" t="s">
        <v>729</v>
      </c>
      <c r="Q150" t="s">
        <v>905</v>
      </c>
      <c r="U150">
        <f>HYPERLINK("https://www.cookcountyassessoril.gov/pin/11323150310000", "11-32-315-031-0000")</f>
        <v>0</v>
      </c>
      <c r="V150" t="s">
        <v>955</v>
      </c>
    </row>
    <row r="151" spans="1:22">
      <c r="A151">
        <v>150</v>
      </c>
      <c r="B151" t="s">
        <v>157</v>
      </c>
      <c r="C151" t="s">
        <v>345</v>
      </c>
      <c r="D151" t="s">
        <v>401</v>
      </c>
      <c r="I151">
        <v>38000</v>
      </c>
      <c r="K151" t="s">
        <v>558</v>
      </c>
      <c r="L151">
        <f>HYPERLINK("https://maps.cookcountyil.gov/cookviewer/?search=3867 S ARCHER AVE", "3867 S ARCHER AVE")</f>
        <v>0</v>
      </c>
      <c r="N151" t="s">
        <v>598</v>
      </c>
      <c r="P151" t="s">
        <v>730</v>
      </c>
      <c r="Q151" t="s">
        <v>906</v>
      </c>
      <c r="U151" t="s">
        <v>953</v>
      </c>
      <c r="V151" t="s">
        <v>955</v>
      </c>
    </row>
    <row r="152" spans="1:22">
      <c r="A152">
        <v>151</v>
      </c>
      <c r="B152" t="s">
        <v>158</v>
      </c>
      <c r="C152" t="s">
        <v>346</v>
      </c>
      <c r="D152" t="s">
        <v>407</v>
      </c>
      <c r="I152">
        <v>12800</v>
      </c>
      <c r="K152" t="s">
        <v>559</v>
      </c>
      <c r="L152">
        <f>HYPERLINK("https://maps.cookcountyil.gov/cookviewer/?search=55 E MONROE ST", "55 E MONROE ST")</f>
        <v>0</v>
      </c>
      <c r="N152" t="s">
        <v>598</v>
      </c>
      <c r="P152" t="s">
        <v>731</v>
      </c>
      <c r="Q152" t="s">
        <v>907</v>
      </c>
      <c r="U152">
        <f>HYPERLINK("https://www.cookcountyassessoril.gov/pin/17151030220000", "17-15-103-022-0000"), =HYPERLINK("https://www.cookcountyassessoril.gov/pin/17151030200000", "17-15-103-020-0000")</f>
        <v>0</v>
      </c>
      <c r="V152" t="s">
        <v>954</v>
      </c>
    </row>
    <row r="153" spans="1:22">
      <c r="A153">
        <v>152</v>
      </c>
      <c r="B153" t="s">
        <v>159</v>
      </c>
      <c r="C153" t="s">
        <v>347</v>
      </c>
      <c r="D153" t="s">
        <v>412</v>
      </c>
      <c r="I153">
        <v>223000</v>
      </c>
      <c r="K153" t="s">
        <v>560</v>
      </c>
      <c r="L153">
        <f>HYPERLINK("https://maps.cookcountyil.gov/cookviewer/?search=500 W MONROE ST", "500 W MONROE ST")</f>
        <v>0</v>
      </c>
      <c r="N153" t="s">
        <v>598</v>
      </c>
      <c r="P153" t="s">
        <v>732</v>
      </c>
      <c r="Q153" t="s">
        <v>908</v>
      </c>
      <c r="U153">
        <f>HYPERLINK("https://www.cookcountyassessoril.gov/pin/17161030150000", "17-16-103-015-0000")</f>
        <v>0</v>
      </c>
      <c r="V153" t="s">
        <v>954</v>
      </c>
    </row>
    <row r="154" spans="1:22">
      <c r="A154">
        <v>153</v>
      </c>
      <c r="B154" t="s">
        <v>160</v>
      </c>
      <c r="C154" t="s">
        <v>348</v>
      </c>
      <c r="D154" t="s">
        <v>411</v>
      </c>
      <c r="I154">
        <v>153200</v>
      </c>
      <c r="K154" t="s">
        <v>561</v>
      </c>
      <c r="L154">
        <f>HYPERLINK("https://maps.cookcountyil.gov/cookviewer/?search=4515 N RAVENSWOOD AVE", "4515 N RAVENSWOOD AVE")</f>
        <v>0</v>
      </c>
      <c r="N154" t="s">
        <v>598</v>
      </c>
      <c r="P154" t="s">
        <v>733</v>
      </c>
      <c r="Q154" t="s">
        <v>909</v>
      </c>
      <c r="U154">
        <f>HYPERLINK("https://www.cookcountyassessoril.gov/pin/14182150090000", "14-18-215-009-0000")</f>
        <v>0</v>
      </c>
      <c r="V154" t="s">
        <v>955</v>
      </c>
    </row>
    <row r="155" spans="1:22">
      <c r="A155">
        <v>154</v>
      </c>
      <c r="B155" t="s">
        <v>161</v>
      </c>
      <c r="C155" t="s">
        <v>349</v>
      </c>
      <c r="D155" t="s">
        <v>407</v>
      </c>
      <c r="I155">
        <v>23000</v>
      </c>
      <c r="K155" t="s">
        <v>562</v>
      </c>
      <c r="L155">
        <f>HYPERLINK("https://maps.cookcountyil.gov/cookviewer/?search=401 N MICHIGAN AVE", "401 N MICHIGAN AVE")</f>
        <v>0</v>
      </c>
      <c r="N155" t="s">
        <v>598</v>
      </c>
      <c r="P155" t="s">
        <v>734</v>
      </c>
      <c r="Q155" t="s">
        <v>910</v>
      </c>
      <c r="U155">
        <f>HYPERLINK("https://www.cookcountyassessoril.gov/pin/17101370110000", "17-10-137-011-0000"), =HYPERLINK("https://www.cookcountyassessoril.gov/pin/17101370130000", "17-10-137-013-0000"), =HYPERLINK("https://www.cookcountyassessoril.gov/pin/17101370090000", "17-10-137-009-0000"), =HYPERLINK("https://www.cookcountyassessoril.gov/pin/17101370120000", "17-10-137-012-0000"), =HYPERLINK("https://www.cookcountyassessoril.gov/pin/17101370140000", "17-10-137-014-0000")</f>
        <v>0</v>
      </c>
      <c r="V155" t="s">
        <v>954</v>
      </c>
    </row>
    <row r="156" spans="1:22">
      <c r="A156">
        <v>155</v>
      </c>
      <c r="B156" t="s">
        <v>162</v>
      </c>
      <c r="C156" t="s">
        <v>350</v>
      </c>
      <c r="D156" t="s">
        <v>420</v>
      </c>
      <c r="I156">
        <v>75000</v>
      </c>
      <c r="K156" t="s">
        <v>563</v>
      </c>
      <c r="L156">
        <f>HYPERLINK("https://maps.cookcountyil.gov/cookviewer/?search=113 N GREEN ST", "113 N GREEN ST")</f>
        <v>0</v>
      </c>
      <c r="N156" t="s">
        <v>598</v>
      </c>
      <c r="P156" t="s">
        <v>735</v>
      </c>
      <c r="Q156" t="s">
        <v>911</v>
      </c>
      <c r="U156">
        <f>HYPERLINK("https://www.cookcountyassessoril.gov/pin/17084420050000", "17-08-442-005-0000")</f>
        <v>0</v>
      </c>
      <c r="V156" t="s">
        <v>955</v>
      </c>
    </row>
    <row r="157" spans="1:22">
      <c r="A157">
        <v>156</v>
      </c>
      <c r="B157" t="s">
        <v>163</v>
      </c>
      <c r="C157" t="s">
        <v>351</v>
      </c>
      <c r="D157" t="s">
        <v>402</v>
      </c>
      <c r="I157">
        <v>5000</v>
      </c>
      <c r="K157" t="s">
        <v>564</v>
      </c>
      <c r="L157">
        <f>HYPERLINK("https://maps.cookcountyil.gov/cookviewer/?search=400 N ABERDEEN ST", "400 N ABERDEEN ST")</f>
        <v>0</v>
      </c>
      <c r="N157" t="s">
        <v>598</v>
      </c>
      <c r="P157" t="s">
        <v>736</v>
      </c>
      <c r="Q157" t="s">
        <v>912</v>
      </c>
      <c r="U157" t="s">
        <v>953</v>
      </c>
      <c r="V157" t="s">
        <v>954</v>
      </c>
    </row>
    <row r="158" spans="1:22">
      <c r="A158">
        <v>157</v>
      </c>
      <c r="B158" t="s">
        <v>164</v>
      </c>
      <c r="C158" t="s">
        <v>352</v>
      </c>
      <c r="D158" t="s">
        <v>407</v>
      </c>
      <c r="I158">
        <v>98000</v>
      </c>
      <c r="K158" t="s">
        <v>565</v>
      </c>
      <c r="L158">
        <f>HYPERLINK("https://maps.cookcountyil.gov/cookviewer/?search=155 N WACKER DR", "155 N WACKER DR")</f>
        <v>0</v>
      </c>
      <c r="N158" t="s">
        <v>598</v>
      </c>
      <c r="P158" t="s">
        <v>737</v>
      </c>
      <c r="Q158" t="s">
        <v>913</v>
      </c>
      <c r="U158">
        <f>HYPERLINK("https://www.cookcountyassessoril.gov/pin/17094290180000", "17-09-429-018-0000"), =HYPERLINK("https://www.cookcountyassessoril.gov/pin/17094290190000", "17-09-429-019-0000")</f>
        <v>0</v>
      </c>
      <c r="V158" t="s">
        <v>954</v>
      </c>
    </row>
    <row r="159" spans="1:22">
      <c r="A159">
        <v>158</v>
      </c>
      <c r="B159" t="s">
        <v>165</v>
      </c>
      <c r="C159" t="s">
        <v>353</v>
      </c>
      <c r="D159" t="s">
        <v>412</v>
      </c>
      <c r="I159">
        <v>4947160</v>
      </c>
      <c r="K159" t="s">
        <v>566</v>
      </c>
      <c r="L159">
        <f>HYPERLINK("https://maps.cookcountyil.gov/cookviewer/?search=600 E GRAND AVE", "600 E GRAND AVE")</f>
        <v>0</v>
      </c>
      <c r="N159" t="s">
        <v>598</v>
      </c>
      <c r="P159" t="s">
        <v>738</v>
      </c>
      <c r="Q159" t="s">
        <v>914</v>
      </c>
      <c r="U159">
        <f>HYPERLINK("https://www.cookcountyassessoril.gov/pin/17102170028046", "17-10-217-002-8046"), =HYPERLINK("https://www.cookcountyassessoril.gov/pin/17102170028020", "17-10-217-002-8020"), =HYPERLINK("https://www.cookcountyassessoril.gov/pin/17102170028051", "17-10-217-002-8051"), =HYPERLINK("https://www.cookcountyassessoril.gov/pin/17102170028002", "17-10-217-002-8002"), =HYPERLINK("https://www.cookcountyassessoril.gov/pin/17102170028071", "17-10-217-002-8071"), =HYPERLINK("https://www.cookcountyassessoril.gov/pin/17102170028001", "17-10-217-002-8001"), =HYPERLINK("https://www.cookcountyassessoril.gov/pin/17102170028062", "17-10-217-002-8062"), =HYPERLINK("https://www.cookcountyassessoril.gov/pin/17102170028061", "17-10-217-002-8061"), =HYPERLINK("https://www.cookcountyassessoril.gov/pin/17102170028021", "17-10-217-002-8021"), =HYPERLINK("https://www.cookcountyassessoril.gov/pin/17102170028077", "17-10-217-002-8077"), =HYPERLINK("https://www.cookcountyassessoril.gov/pin/17102170028065", "17-10-217-002-8065"), =HYPERLINK("https://www.cookcountyassessoril.gov/pin/17102170028055", "17-10-217-002-8055"), =HYPERLINK("https://www.cookcountyassessoril.gov/pin/17102170028036", "17-10-217-002-8036"), =HYPERLINK("https://www.cookcountyassessoril.gov/pin/17102170028063", "17-10-217-002-8063"), =HYPERLINK("https://www.cookcountyassessoril.gov/pin/17102170028075", "17-10-217-002-8075"), =HYPERLINK("https://www.cookcountyassessoril.gov/pin/17102170028076", "17-10-217-002-8076"), =HYPERLINK("https://www.cookcountyassessoril.gov/pin/17102170028070", "17-10-217-002-8070"), =HYPERLINK("https://www.cookcountyassessoril.gov/pin/17102170028034", "17-10-217-002-8034")</f>
        <v>0</v>
      </c>
      <c r="V159" t="s">
        <v>955</v>
      </c>
    </row>
    <row r="160" spans="1:22">
      <c r="A160">
        <v>159</v>
      </c>
      <c r="B160" t="s">
        <v>166</v>
      </c>
      <c r="C160" t="s">
        <v>354</v>
      </c>
      <c r="D160" t="s">
        <v>407</v>
      </c>
      <c r="I160">
        <v>10066</v>
      </c>
      <c r="K160" t="s">
        <v>567</v>
      </c>
      <c r="L160">
        <f>HYPERLINK("https://maps.cookcountyil.gov/cookviewer/?search=5035 N NEW ENGLAND AVE", "5035 N NEW ENGLAND AVE")</f>
        <v>0</v>
      </c>
      <c r="N160" t="s">
        <v>598</v>
      </c>
      <c r="P160" t="s">
        <v>739</v>
      </c>
      <c r="Q160" t="s">
        <v>915</v>
      </c>
      <c r="U160">
        <f>HYPERLINK("https://www.cookcountyassessoril.gov/pin/13073170090000", "13-07-317-009-0000")</f>
        <v>0</v>
      </c>
      <c r="V160" t="s">
        <v>954</v>
      </c>
    </row>
    <row r="161" spans="1:22">
      <c r="A161">
        <v>160</v>
      </c>
      <c r="B161" t="s">
        <v>167</v>
      </c>
      <c r="C161" t="s">
        <v>355</v>
      </c>
      <c r="D161" t="s">
        <v>407</v>
      </c>
      <c r="I161">
        <v>13000</v>
      </c>
      <c r="K161" t="s">
        <v>568</v>
      </c>
      <c r="L161">
        <f>HYPERLINK("https://maps.cookcountyil.gov/cookviewer/?search=3143 N SAWYER AVE", "3143 N SAWYER AVE")</f>
        <v>0</v>
      </c>
      <c r="N161" t="s">
        <v>598</v>
      </c>
      <c r="P161" t="s">
        <v>740</v>
      </c>
      <c r="Q161" t="s">
        <v>916</v>
      </c>
      <c r="U161">
        <f>HYPERLINK("https://www.cookcountyassessoril.gov/pin/13262070060000", "13-26-207-006-0000")</f>
        <v>0</v>
      </c>
      <c r="V161" t="s">
        <v>954</v>
      </c>
    </row>
    <row r="162" spans="1:22">
      <c r="A162">
        <v>161</v>
      </c>
      <c r="B162" t="s">
        <v>168</v>
      </c>
      <c r="C162" t="s">
        <v>356</v>
      </c>
      <c r="D162" t="s">
        <v>399</v>
      </c>
      <c r="I162">
        <v>250</v>
      </c>
      <c r="K162" t="s">
        <v>569</v>
      </c>
      <c r="L162">
        <f>HYPERLINK("https://maps.cookcountyil.gov/cookviewer/?search=8456 S ESSEX AVE", "8456 S ESSEX AVE")</f>
        <v>0</v>
      </c>
      <c r="N162" t="s">
        <v>598</v>
      </c>
      <c r="P162" t="s">
        <v>741</v>
      </c>
      <c r="Q162" t="s">
        <v>917</v>
      </c>
      <c r="U162">
        <f>HYPERLINK("https://www.cookcountyassessoril.gov/pin/21313090450000", "21-31-309-045-0000")</f>
        <v>0</v>
      </c>
      <c r="V162" t="s">
        <v>955</v>
      </c>
    </row>
    <row r="163" spans="1:22">
      <c r="A163">
        <v>162</v>
      </c>
      <c r="B163" t="s">
        <v>169</v>
      </c>
      <c r="C163" t="s">
        <v>357</v>
      </c>
      <c r="D163" t="s">
        <v>402</v>
      </c>
      <c r="I163">
        <v>5000</v>
      </c>
      <c r="K163" t="s">
        <v>570</v>
      </c>
      <c r="L163">
        <f>HYPERLINK("https://maps.cookcountyil.gov/cookviewer/?search=3334 N MILWAUKEE AVE", "3334 N MILWAUKEE AVE")</f>
        <v>0</v>
      </c>
      <c r="N163" t="s">
        <v>598</v>
      </c>
      <c r="P163" t="s">
        <v>742</v>
      </c>
      <c r="Q163" t="s">
        <v>918</v>
      </c>
      <c r="U163" t="s">
        <v>953</v>
      </c>
      <c r="V163" t="s">
        <v>954</v>
      </c>
    </row>
    <row r="164" spans="1:22">
      <c r="A164">
        <v>163</v>
      </c>
      <c r="B164" t="s">
        <v>170</v>
      </c>
      <c r="C164" t="s">
        <v>358</v>
      </c>
      <c r="D164" t="s">
        <v>410</v>
      </c>
      <c r="I164">
        <v>8415</v>
      </c>
      <c r="K164" t="s">
        <v>571</v>
      </c>
      <c r="L164">
        <f>HYPERLINK("https://maps.cookcountyil.gov/cookviewer/?search=5001 W HENDERSON ST", "5001 W HENDERSON ST")</f>
        <v>0</v>
      </c>
      <c r="N164" t="s">
        <v>598</v>
      </c>
      <c r="P164" t="s">
        <v>743</v>
      </c>
      <c r="Q164" t="s">
        <v>919</v>
      </c>
      <c r="U164">
        <f>HYPERLINK("https://www.cookcountyassessoril.gov/pin/13214130400000", "13-21-413-040-0000")</f>
        <v>0</v>
      </c>
      <c r="V164" t="s">
        <v>955</v>
      </c>
    </row>
    <row r="165" spans="1:22">
      <c r="A165">
        <v>164</v>
      </c>
      <c r="B165" t="s">
        <v>171</v>
      </c>
      <c r="C165" t="s">
        <v>359</v>
      </c>
      <c r="D165" t="s">
        <v>411</v>
      </c>
      <c r="I165">
        <v>110750</v>
      </c>
      <c r="K165" t="s">
        <v>572</v>
      </c>
      <c r="L165">
        <f>HYPERLINK("https://maps.cookcountyil.gov/cookviewer/?search=2575 W LYNDALE ST", "2575 W LYNDALE ST")</f>
        <v>0</v>
      </c>
      <c r="N165" t="s">
        <v>598</v>
      </c>
      <c r="P165" t="s">
        <v>744</v>
      </c>
      <c r="Q165" t="s">
        <v>920</v>
      </c>
      <c r="U165" t="s">
        <v>953</v>
      </c>
      <c r="V165" t="s">
        <v>954</v>
      </c>
    </row>
    <row r="166" spans="1:22">
      <c r="A166">
        <v>165</v>
      </c>
      <c r="B166" t="s">
        <v>172</v>
      </c>
      <c r="C166" t="s">
        <v>360</v>
      </c>
      <c r="D166" t="s">
        <v>404</v>
      </c>
      <c r="I166">
        <v>208240</v>
      </c>
      <c r="K166" t="s">
        <v>573</v>
      </c>
      <c r="L166">
        <f>HYPERLINK("https://maps.cookcountyil.gov/cookviewer/?search=1900 N CENTRAL AVE OP", "1900 N CENTRAL AVE OP")</f>
        <v>0</v>
      </c>
      <c r="N166" t="s">
        <v>598</v>
      </c>
      <c r="P166" t="s">
        <v>745</v>
      </c>
      <c r="Q166" t="s">
        <v>921</v>
      </c>
      <c r="U166" t="s">
        <v>953</v>
      </c>
      <c r="V166" t="s">
        <v>955</v>
      </c>
    </row>
    <row r="167" spans="1:22">
      <c r="A167">
        <v>166</v>
      </c>
      <c r="B167" t="s">
        <v>128</v>
      </c>
      <c r="C167" t="s">
        <v>361</v>
      </c>
      <c r="D167" t="s">
        <v>407</v>
      </c>
      <c r="I167">
        <v>16359</v>
      </c>
      <c r="K167" t="s">
        <v>529</v>
      </c>
      <c r="L167">
        <f>HYPERLINK("https://maps.cookcountyil.gov/cookviewer/?search=3716 N PAGE AVE", "3716 N PAGE AVE")</f>
        <v>0</v>
      </c>
      <c r="N167" t="s">
        <v>598</v>
      </c>
      <c r="P167" t="s">
        <v>702</v>
      </c>
      <c r="Q167" t="s">
        <v>922</v>
      </c>
      <c r="U167">
        <f>HYPERLINK("https://www.cookcountyassessoril.gov/pin/12232220410000", "12-23-222-041-0000")</f>
        <v>0</v>
      </c>
      <c r="V167" t="s">
        <v>955</v>
      </c>
    </row>
    <row r="168" spans="1:22">
      <c r="A168">
        <v>167</v>
      </c>
      <c r="B168" t="s">
        <v>167</v>
      </c>
      <c r="C168" t="s">
        <v>362</v>
      </c>
      <c r="D168" t="s">
        <v>420</v>
      </c>
      <c r="I168">
        <v>3000</v>
      </c>
      <c r="K168" t="s">
        <v>568</v>
      </c>
      <c r="L168">
        <f>HYPERLINK("https://maps.cookcountyil.gov/cookviewer/?search=3143 N SAWYER AVE", "3143 N SAWYER AVE")</f>
        <v>0</v>
      </c>
      <c r="N168" t="s">
        <v>598</v>
      </c>
      <c r="P168" t="s">
        <v>740</v>
      </c>
      <c r="Q168" t="s">
        <v>923</v>
      </c>
      <c r="U168">
        <f>HYPERLINK("https://www.cookcountyassessoril.gov/pin/13262070060000", "13-26-207-006-0000")</f>
        <v>0</v>
      </c>
      <c r="V168" t="s">
        <v>954</v>
      </c>
    </row>
    <row r="169" spans="1:22">
      <c r="A169">
        <v>168</v>
      </c>
      <c r="B169" t="s">
        <v>128</v>
      </c>
      <c r="C169" t="s">
        <v>363</v>
      </c>
      <c r="D169" t="s">
        <v>407</v>
      </c>
      <c r="I169">
        <v>7011</v>
      </c>
      <c r="K169" t="s">
        <v>529</v>
      </c>
      <c r="L169">
        <f>HYPERLINK("https://maps.cookcountyil.gov/cookviewer/?search=3716 N PAGE AVE", "3716 N PAGE AVE")</f>
        <v>0</v>
      </c>
      <c r="N169" t="s">
        <v>598</v>
      </c>
      <c r="P169" t="s">
        <v>702</v>
      </c>
      <c r="Q169" t="s">
        <v>924</v>
      </c>
      <c r="U169">
        <f>HYPERLINK("https://www.cookcountyassessoril.gov/pin/12232220410000", "12-23-222-041-0000")</f>
        <v>0</v>
      </c>
      <c r="V169" t="s">
        <v>955</v>
      </c>
    </row>
    <row r="170" spans="1:22">
      <c r="A170">
        <v>169</v>
      </c>
      <c r="B170" t="s">
        <v>173</v>
      </c>
      <c r="C170" t="s">
        <v>364</v>
      </c>
      <c r="D170" t="s">
        <v>404</v>
      </c>
      <c r="I170">
        <v>4282</v>
      </c>
      <c r="K170" t="s">
        <v>574</v>
      </c>
      <c r="L170">
        <f>HYPERLINK("https://maps.cookcountyil.gov/cookviewer/?search=2927 N LOTUS AVE", "2927 N LOTUS AVE")</f>
        <v>0</v>
      </c>
      <c r="N170" t="s">
        <v>598</v>
      </c>
      <c r="P170" t="s">
        <v>746</v>
      </c>
      <c r="Q170" t="s">
        <v>925</v>
      </c>
      <c r="U170" t="s">
        <v>953</v>
      </c>
      <c r="V170" t="s">
        <v>954</v>
      </c>
    </row>
    <row r="171" spans="1:22">
      <c r="A171">
        <v>170</v>
      </c>
      <c r="B171" t="s">
        <v>174</v>
      </c>
      <c r="C171" t="s">
        <v>365</v>
      </c>
      <c r="D171" t="s">
        <v>404</v>
      </c>
      <c r="I171">
        <v>24300</v>
      </c>
      <c r="K171" t="s">
        <v>575</v>
      </c>
      <c r="L171">
        <f>HYPERLINK("https://maps.cookcountyil.gov/cookviewer/?search=3716 N NORDICA AVE", "3716 N NORDICA AVE")</f>
        <v>0</v>
      </c>
      <c r="N171" t="s">
        <v>598</v>
      </c>
      <c r="P171" t="s">
        <v>747</v>
      </c>
      <c r="Q171" t="s">
        <v>926</v>
      </c>
      <c r="U171">
        <f>HYPERLINK("https://www.cookcountyassessoril.gov/pin/13191200510000", "13-19-120-051-0000")</f>
        <v>0</v>
      </c>
      <c r="V171" t="s">
        <v>955</v>
      </c>
    </row>
    <row r="172" spans="1:22">
      <c r="A172">
        <v>171</v>
      </c>
      <c r="B172" t="s">
        <v>175</v>
      </c>
      <c r="C172" t="s">
        <v>366</v>
      </c>
      <c r="D172" t="s">
        <v>413</v>
      </c>
      <c r="I172">
        <v>38000</v>
      </c>
      <c r="K172" t="s">
        <v>576</v>
      </c>
      <c r="L172">
        <f>HYPERLINK("https://maps.cookcountyil.gov/cookviewer/?search=5433 S EAST VIEW PARK", "5433 S EAST VIEW PARK")</f>
        <v>0</v>
      </c>
      <c r="N172" t="s">
        <v>598</v>
      </c>
      <c r="P172" t="s">
        <v>748</v>
      </c>
      <c r="Q172" t="s">
        <v>849</v>
      </c>
      <c r="U172" t="s">
        <v>953</v>
      </c>
      <c r="V172" t="s">
        <v>954</v>
      </c>
    </row>
    <row r="173" spans="1:22">
      <c r="A173">
        <v>172</v>
      </c>
      <c r="B173" t="s">
        <v>176</v>
      </c>
      <c r="C173" t="s">
        <v>367</v>
      </c>
      <c r="D173" t="s">
        <v>421</v>
      </c>
      <c r="I173">
        <v>1200</v>
      </c>
      <c r="K173" t="s">
        <v>577</v>
      </c>
      <c r="L173">
        <f>HYPERLINK("https://maps.cookcountyil.gov/cookviewer/?search=5309 S BISHOP ST", "5309 S BISHOP ST")</f>
        <v>0</v>
      </c>
      <c r="N173" t="s">
        <v>598</v>
      </c>
      <c r="P173" t="s">
        <v>749</v>
      </c>
      <c r="Q173" t="s">
        <v>927</v>
      </c>
      <c r="U173">
        <f>HYPERLINK("https://www.cookcountyassessoril.gov/pin/20083150050000", "20-08-315-005-0000")</f>
        <v>0</v>
      </c>
      <c r="V173" t="s">
        <v>954</v>
      </c>
    </row>
    <row r="174" spans="1:22">
      <c r="A174">
        <v>173</v>
      </c>
      <c r="B174" t="s">
        <v>174</v>
      </c>
      <c r="C174" t="s">
        <v>368</v>
      </c>
      <c r="D174" t="s">
        <v>404</v>
      </c>
      <c r="I174">
        <v>24300</v>
      </c>
      <c r="K174" t="s">
        <v>575</v>
      </c>
      <c r="L174">
        <f>HYPERLINK("https://maps.cookcountyil.gov/cookviewer/?search=3716 N NORDICA AVE", "3716 N NORDICA AVE")</f>
        <v>0</v>
      </c>
      <c r="N174" t="s">
        <v>598</v>
      </c>
      <c r="P174" t="s">
        <v>747</v>
      </c>
      <c r="Q174" t="s">
        <v>928</v>
      </c>
      <c r="U174">
        <f>HYPERLINK("https://www.cookcountyassessoril.gov/pin/13191200510000", "13-19-120-051-0000")</f>
        <v>0</v>
      </c>
      <c r="V174" t="s">
        <v>955</v>
      </c>
    </row>
    <row r="175" spans="1:22">
      <c r="A175">
        <v>174</v>
      </c>
      <c r="B175" t="s">
        <v>177</v>
      </c>
      <c r="C175" t="s">
        <v>369</v>
      </c>
      <c r="D175" t="s">
        <v>419</v>
      </c>
      <c r="I175">
        <v>1300</v>
      </c>
      <c r="K175" t="s">
        <v>578</v>
      </c>
      <c r="L175">
        <f>HYPERLINK("https://maps.cookcountyil.gov/cookviewer/?search=2420 W BERTEAU AVE", "2420 W BERTEAU AVE")</f>
        <v>0</v>
      </c>
      <c r="N175" t="s">
        <v>598</v>
      </c>
      <c r="P175" t="s">
        <v>750</v>
      </c>
      <c r="Q175" t="s">
        <v>929</v>
      </c>
      <c r="U175">
        <f>HYPERLINK("https://www.cookcountyassessoril.gov/pin/13134080480000", "13-13-408-048-0000")</f>
        <v>0</v>
      </c>
      <c r="V175" t="s">
        <v>954</v>
      </c>
    </row>
    <row r="176" spans="1:22">
      <c r="A176">
        <v>175</v>
      </c>
      <c r="B176" t="s">
        <v>178</v>
      </c>
      <c r="C176" t="s">
        <v>370</v>
      </c>
      <c r="D176" t="s">
        <v>407</v>
      </c>
      <c r="I176">
        <v>10906</v>
      </c>
      <c r="K176" t="s">
        <v>579</v>
      </c>
      <c r="L176">
        <f>HYPERLINK("https://maps.cookcountyil.gov/cookviewer/?search=5752 S NOTTINGHAM AVE", "5752 S NOTTINGHAM AVE")</f>
        <v>0</v>
      </c>
      <c r="N176" t="s">
        <v>598</v>
      </c>
      <c r="P176" t="s">
        <v>751</v>
      </c>
      <c r="Q176" t="s">
        <v>930</v>
      </c>
      <c r="U176" t="s">
        <v>953</v>
      </c>
      <c r="V176" t="s">
        <v>955</v>
      </c>
    </row>
    <row r="177" spans="1:22">
      <c r="A177">
        <v>176</v>
      </c>
      <c r="B177" t="s">
        <v>122</v>
      </c>
      <c r="C177" t="s">
        <v>371</v>
      </c>
      <c r="D177" t="s">
        <v>398</v>
      </c>
      <c r="I177">
        <v>4000</v>
      </c>
      <c r="K177" t="s">
        <v>523</v>
      </c>
      <c r="L177">
        <f>HYPERLINK("https://maps.cookcountyil.gov/cookviewer/?search=4740 N ROCKWELL ST", "4740 N ROCKWELL ST")</f>
        <v>0</v>
      </c>
      <c r="N177" t="s">
        <v>598</v>
      </c>
      <c r="P177" t="s">
        <v>696</v>
      </c>
      <c r="Q177" t="s">
        <v>931</v>
      </c>
      <c r="U177">
        <f>HYPERLINK("https://www.cookcountyassessoril.gov/pin/13132030210000", "13-13-203-021-0000")</f>
        <v>0</v>
      </c>
      <c r="V177" t="s">
        <v>954</v>
      </c>
    </row>
    <row r="178" spans="1:22">
      <c r="A178">
        <v>177</v>
      </c>
      <c r="B178" t="s">
        <v>178</v>
      </c>
      <c r="C178" t="s">
        <v>372</v>
      </c>
      <c r="D178" t="s">
        <v>407</v>
      </c>
      <c r="I178">
        <v>7011</v>
      </c>
      <c r="K178" t="s">
        <v>579</v>
      </c>
      <c r="L178">
        <f>HYPERLINK("https://maps.cookcountyil.gov/cookviewer/?search=5752 S NOTTINGHAM AVE", "5752 S NOTTINGHAM AVE")</f>
        <v>0</v>
      </c>
      <c r="N178" t="s">
        <v>598</v>
      </c>
      <c r="P178" t="s">
        <v>751</v>
      </c>
      <c r="Q178" t="s">
        <v>932</v>
      </c>
      <c r="U178" t="s">
        <v>953</v>
      </c>
      <c r="V178" t="s">
        <v>955</v>
      </c>
    </row>
    <row r="179" spans="1:22">
      <c r="A179">
        <v>178</v>
      </c>
      <c r="B179" t="s">
        <v>178</v>
      </c>
      <c r="C179" t="s">
        <v>373</v>
      </c>
      <c r="D179" t="s">
        <v>407</v>
      </c>
      <c r="I179">
        <v>6020</v>
      </c>
      <c r="K179" t="s">
        <v>579</v>
      </c>
      <c r="L179">
        <f>HYPERLINK("https://maps.cookcountyil.gov/cookviewer/?search=5752 S NOTTINGHAM AVE", "5752 S NOTTINGHAM AVE")</f>
        <v>0</v>
      </c>
      <c r="N179" t="s">
        <v>598</v>
      </c>
      <c r="P179" t="s">
        <v>751</v>
      </c>
      <c r="Q179" t="s">
        <v>933</v>
      </c>
      <c r="U179" t="s">
        <v>953</v>
      </c>
      <c r="V179" t="s">
        <v>954</v>
      </c>
    </row>
    <row r="180" spans="1:22">
      <c r="A180">
        <v>179</v>
      </c>
      <c r="B180" t="s">
        <v>179</v>
      </c>
      <c r="C180" t="s">
        <v>374</v>
      </c>
      <c r="D180" t="s">
        <v>409</v>
      </c>
      <c r="I180">
        <v>17000</v>
      </c>
      <c r="K180" t="s">
        <v>580</v>
      </c>
      <c r="L180">
        <f>HYPERLINK("https://maps.cookcountyil.gov/cookviewer/?search=3340 N KEDVALE AVE", "3340 N KEDVALE AVE")</f>
        <v>0</v>
      </c>
      <c r="N180" t="s">
        <v>598</v>
      </c>
      <c r="P180" t="s">
        <v>752</v>
      </c>
      <c r="Q180" t="s">
        <v>849</v>
      </c>
      <c r="U180">
        <f>HYPERLINK("https://www.cookcountyassessoril.gov/pin/13224210260000", "13-22-421-026-0000")</f>
        <v>0</v>
      </c>
      <c r="V180" t="s">
        <v>954</v>
      </c>
    </row>
    <row r="181" spans="1:22">
      <c r="A181">
        <v>180</v>
      </c>
      <c r="B181" t="s">
        <v>180</v>
      </c>
      <c r="C181" t="s">
        <v>375</v>
      </c>
      <c r="D181" t="s">
        <v>414</v>
      </c>
      <c r="I181">
        <v>14500</v>
      </c>
      <c r="K181" t="s">
        <v>581</v>
      </c>
      <c r="L181">
        <f>HYPERLINK("https://maps.cookcountyil.gov/cookviewer/?search=6001 N CLARK ST", "6001 N CLARK ST")</f>
        <v>0</v>
      </c>
      <c r="N181" t="s">
        <v>598</v>
      </c>
      <c r="P181" t="s">
        <v>753</v>
      </c>
      <c r="Q181" t="s">
        <v>934</v>
      </c>
      <c r="U181">
        <f>HYPERLINK("https://www.cookcountyassessoril.gov/pin/14051260330000", "14-05-126-033-0000")</f>
        <v>0</v>
      </c>
      <c r="V181" t="s">
        <v>954</v>
      </c>
    </row>
    <row r="182" spans="1:22">
      <c r="A182">
        <v>181</v>
      </c>
      <c r="B182" t="s">
        <v>181</v>
      </c>
      <c r="C182" t="s">
        <v>376</v>
      </c>
      <c r="D182" t="s">
        <v>400</v>
      </c>
      <c r="I182">
        <v>780</v>
      </c>
      <c r="K182" t="s">
        <v>582</v>
      </c>
      <c r="L182">
        <f>HYPERLINK("https://maps.cookcountyil.gov/cookviewer/?search=2140 N BISSELL ST", "2140 N BISSELL ST")</f>
        <v>0</v>
      </c>
      <c r="N182" t="s">
        <v>598</v>
      </c>
      <c r="P182" t="s">
        <v>754</v>
      </c>
      <c r="Q182" t="s">
        <v>935</v>
      </c>
      <c r="U182">
        <f>HYPERLINK("https://www.cookcountyassessoril.gov/pin/14322170270000", "14-32-217-027-0000")</f>
        <v>0</v>
      </c>
      <c r="V182" t="s">
        <v>954</v>
      </c>
    </row>
    <row r="183" spans="1:22">
      <c r="A183">
        <v>182</v>
      </c>
      <c r="B183" t="s">
        <v>182</v>
      </c>
      <c r="C183" t="s">
        <v>377</v>
      </c>
      <c r="D183" t="s">
        <v>415</v>
      </c>
      <c r="I183">
        <v>85818</v>
      </c>
      <c r="K183" t="s">
        <v>583</v>
      </c>
      <c r="L183">
        <f>HYPERLINK("https://maps.cookcountyil.gov/cookviewer/?search=4540 N SEELEY AVE", "4540 N SEELEY AVE")</f>
        <v>0</v>
      </c>
      <c r="N183" t="s">
        <v>598</v>
      </c>
      <c r="P183" t="s">
        <v>755</v>
      </c>
      <c r="Q183" t="s">
        <v>936</v>
      </c>
      <c r="U183">
        <f>HYPERLINK("https://www.cookcountyassessoril.gov/pin/14181270220000", "14-18-127-022-0000")</f>
        <v>0</v>
      </c>
      <c r="V183" t="s">
        <v>955</v>
      </c>
    </row>
    <row r="184" spans="1:22">
      <c r="A184">
        <v>183</v>
      </c>
      <c r="B184" t="s">
        <v>183</v>
      </c>
      <c r="C184" t="s">
        <v>378</v>
      </c>
      <c r="D184" t="s">
        <v>412</v>
      </c>
      <c r="I184">
        <v>3800</v>
      </c>
      <c r="K184" t="s">
        <v>584</v>
      </c>
      <c r="L184">
        <f>HYPERLINK("https://maps.cookcountyil.gov/cookviewer/?search=9900 S THROOP ST", "9900 S THROOP ST")</f>
        <v>0</v>
      </c>
      <c r="N184" t="s">
        <v>598</v>
      </c>
      <c r="P184" t="s">
        <v>756</v>
      </c>
      <c r="Q184" t="s">
        <v>937</v>
      </c>
      <c r="U184">
        <f>HYPERLINK("https://www.cookcountyassessoril.gov/pin/25083030190000", "25-08-303-019-0000")</f>
        <v>0</v>
      </c>
      <c r="V184" t="s">
        <v>954</v>
      </c>
    </row>
    <row r="185" spans="1:22">
      <c r="A185">
        <v>184</v>
      </c>
      <c r="B185" t="s">
        <v>184</v>
      </c>
      <c r="C185" t="s">
        <v>379</v>
      </c>
      <c r="D185" t="s">
        <v>402</v>
      </c>
      <c r="I185">
        <v>37576</v>
      </c>
      <c r="K185" t="s">
        <v>585</v>
      </c>
      <c r="L185">
        <f>HYPERLINK("https://maps.cookcountyil.gov/cookviewer/?search=725 S WELLS ST", "725 S WELLS ST")</f>
        <v>0</v>
      </c>
      <c r="N185" t="s">
        <v>598</v>
      </c>
      <c r="P185" t="s">
        <v>757</v>
      </c>
      <c r="Q185" t="s">
        <v>938</v>
      </c>
      <c r="U185">
        <f>HYPERLINK("https://www.cookcountyassessoril.gov/pin/17164020470000", "17-16-402-047-0000"), =HYPERLINK("https://www.cookcountyassessoril.gov/pin/17164020530000", "17-16-402-053-0000")</f>
        <v>0</v>
      </c>
      <c r="V185" t="s">
        <v>954</v>
      </c>
    </row>
    <row r="186" spans="1:22">
      <c r="A186">
        <v>185</v>
      </c>
      <c r="B186" t="s">
        <v>185</v>
      </c>
      <c r="C186" t="s">
        <v>380</v>
      </c>
      <c r="D186" t="s">
        <v>411</v>
      </c>
      <c r="I186">
        <v>14000</v>
      </c>
      <c r="K186" t="s">
        <v>586</v>
      </c>
      <c r="L186">
        <f>HYPERLINK("https://maps.cookcountyil.gov/cookviewer/?search=7501 S PEORIA ST", "7501 S PEORIA ST")</f>
        <v>0</v>
      </c>
      <c r="N186" t="s">
        <v>598</v>
      </c>
      <c r="P186" t="s">
        <v>758</v>
      </c>
      <c r="Q186" t="s">
        <v>939</v>
      </c>
      <c r="U186" t="s">
        <v>953</v>
      </c>
      <c r="V186" t="s">
        <v>954</v>
      </c>
    </row>
    <row r="187" spans="1:22">
      <c r="A187">
        <v>186</v>
      </c>
      <c r="B187" t="s">
        <v>186</v>
      </c>
      <c r="C187" t="s">
        <v>381</v>
      </c>
      <c r="D187" t="s">
        <v>407</v>
      </c>
      <c r="I187">
        <v>3249</v>
      </c>
      <c r="K187" t="s">
        <v>587</v>
      </c>
      <c r="L187">
        <f>HYPERLINK("https://maps.cookcountyil.gov/cookviewer/?search=5651 N NEVA AVE", "5651 N NEVA AVE")</f>
        <v>0</v>
      </c>
      <c r="N187" t="s">
        <v>598</v>
      </c>
      <c r="P187" t="s">
        <v>759</v>
      </c>
      <c r="Q187" t="s">
        <v>940</v>
      </c>
      <c r="U187">
        <f>HYPERLINK("https://www.cookcountyassessoril.gov/pin/13063170040000", "13-06-317-004-0000")</f>
        <v>0</v>
      </c>
      <c r="V187" t="s">
        <v>954</v>
      </c>
    </row>
    <row r="188" spans="1:22">
      <c r="A188">
        <v>187</v>
      </c>
      <c r="B188" t="s">
        <v>187</v>
      </c>
      <c r="C188" t="s">
        <v>382</v>
      </c>
      <c r="D188" t="s">
        <v>404</v>
      </c>
      <c r="I188">
        <v>6400</v>
      </c>
      <c r="K188" t="s">
        <v>588</v>
      </c>
      <c r="L188">
        <f>HYPERLINK("https://maps.cookcountyil.gov/cookviewer/?search=654 E BOWEN AVE", "654 E BOWEN AVE")</f>
        <v>0</v>
      </c>
      <c r="N188" t="s">
        <v>598</v>
      </c>
      <c r="P188" t="s">
        <v>760</v>
      </c>
      <c r="Q188" t="s">
        <v>941</v>
      </c>
      <c r="U188">
        <f>HYPERLINK("https://www.cookcountyassessoril.gov/pin/20032140480000", "20-03-214-048-0000")</f>
        <v>0</v>
      </c>
      <c r="V188" t="s">
        <v>955</v>
      </c>
    </row>
    <row r="189" spans="1:22">
      <c r="A189">
        <v>188</v>
      </c>
      <c r="B189" t="s">
        <v>188</v>
      </c>
      <c r="C189" t="s">
        <v>383</v>
      </c>
      <c r="D189" t="s">
        <v>400</v>
      </c>
      <c r="I189">
        <v>2000</v>
      </c>
      <c r="K189" t="s">
        <v>589</v>
      </c>
      <c r="L189">
        <f>HYPERLINK("https://maps.cookcountyil.gov/cookviewer/?search=168 N STATE ST", "168 N STATE ST")</f>
        <v>0</v>
      </c>
      <c r="N189" t="s">
        <v>598</v>
      </c>
      <c r="P189" t="s">
        <v>761</v>
      </c>
      <c r="Q189" t="s">
        <v>942</v>
      </c>
      <c r="U189">
        <f>HYPERLINK("https://www.cookcountyassessoril.gov/pin/17094390520000", "17-09-439-052-0000")</f>
        <v>0</v>
      </c>
      <c r="V189" t="s">
        <v>954</v>
      </c>
    </row>
    <row r="190" spans="1:22">
      <c r="A190">
        <v>189</v>
      </c>
      <c r="B190" t="s">
        <v>189</v>
      </c>
      <c r="C190" t="s">
        <v>384</v>
      </c>
      <c r="D190" t="s">
        <v>407</v>
      </c>
      <c r="I190">
        <v>3320</v>
      </c>
      <c r="K190" t="s">
        <v>590</v>
      </c>
      <c r="L190">
        <f>HYPERLINK("https://maps.cookcountyil.gov/cookviewer/?search=4904 S LEAMINGTON AVE", "4904 S LEAMINGTON AVE")</f>
        <v>0</v>
      </c>
      <c r="N190" t="s">
        <v>598</v>
      </c>
      <c r="P190" t="s">
        <v>762</v>
      </c>
      <c r="Q190" t="s">
        <v>943</v>
      </c>
      <c r="U190">
        <f>HYPERLINK("https://www.cookcountyassessoril.gov/pin/19092160510000", "19-09-216-051-0000")</f>
        <v>0</v>
      </c>
      <c r="V190" t="s">
        <v>954</v>
      </c>
    </row>
    <row r="191" spans="1:22">
      <c r="A191">
        <v>190</v>
      </c>
      <c r="B191" t="s">
        <v>190</v>
      </c>
      <c r="C191" t="s">
        <v>385</v>
      </c>
      <c r="D191" t="s">
        <v>404</v>
      </c>
      <c r="I191">
        <v>37675</v>
      </c>
      <c r="K191" t="s">
        <v>591</v>
      </c>
      <c r="L191">
        <f>HYPERLINK("https://maps.cookcountyil.gov/cookviewer/?search=2815 W SHERWIN AVE", "2815 W SHERWIN AVE")</f>
        <v>0</v>
      </c>
      <c r="N191" t="s">
        <v>598</v>
      </c>
      <c r="P191" t="s">
        <v>763</v>
      </c>
      <c r="Q191" t="s">
        <v>944</v>
      </c>
      <c r="U191">
        <f>HYPERLINK("https://www.cookcountyassessoril.gov/pin/10253240140000", "10-25-324-014-0000")</f>
        <v>0</v>
      </c>
      <c r="V191" t="s">
        <v>955</v>
      </c>
    </row>
    <row r="192" spans="1:22">
      <c r="A192">
        <v>191</v>
      </c>
      <c r="B192" t="s">
        <v>191</v>
      </c>
      <c r="C192" t="s">
        <v>386</v>
      </c>
      <c r="D192" t="s">
        <v>404</v>
      </c>
      <c r="I192">
        <v>38950</v>
      </c>
      <c r="K192" t="s">
        <v>592</v>
      </c>
      <c r="L192">
        <f>HYPERLINK("https://maps.cookcountyil.gov/cookviewer/?search=6200 S MONITOR AVE", "6200 S MONITOR AVE")</f>
        <v>0</v>
      </c>
      <c r="N192" t="s">
        <v>598</v>
      </c>
      <c r="P192" t="s">
        <v>764</v>
      </c>
      <c r="Q192" t="s">
        <v>824</v>
      </c>
      <c r="U192">
        <f>HYPERLINK("https://www.cookcountyassessoril.gov/pin/19174260410000", "19-17-426-041-0000")</f>
        <v>0</v>
      </c>
      <c r="V192" t="s">
        <v>955</v>
      </c>
    </row>
    <row r="193" spans="1:22">
      <c r="A193">
        <v>192</v>
      </c>
      <c r="B193" t="s">
        <v>190</v>
      </c>
      <c r="C193" t="s">
        <v>387</v>
      </c>
      <c r="D193" t="s">
        <v>404</v>
      </c>
      <c r="I193">
        <v>37675</v>
      </c>
      <c r="K193" t="s">
        <v>591</v>
      </c>
      <c r="L193">
        <f>HYPERLINK("https://maps.cookcountyil.gov/cookviewer/?search=2815 W SHERWIN AVE", "2815 W SHERWIN AVE")</f>
        <v>0</v>
      </c>
      <c r="N193" t="s">
        <v>598</v>
      </c>
      <c r="P193" t="s">
        <v>763</v>
      </c>
      <c r="Q193" t="s">
        <v>945</v>
      </c>
      <c r="U193">
        <f>HYPERLINK("https://www.cookcountyassessoril.gov/pin/10253240140000", "10-25-324-014-0000")</f>
        <v>0</v>
      </c>
      <c r="V193" t="s">
        <v>955</v>
      </c>
    </row>
    <row r="194" spans="1:22">
      <c r="A194">
        <v>193</v>
      </c>
      <c r="B194" t="s">
        <v>192</v>
      </c>
      <c r="C194" t="s">
        <v>388</v>
      </c>
      <c r="D194" t="s">
        <v>411</v>
      </c>
      <c r="I194">
        <v>9750</v>
      </c>
      <c r="K194" t="s">
        <v>593</v>
      </c>
      <c r="L194">
        <f>HYPERLINK("https://maps.cookcountyil.gov/cookviewer/?search=4346 W CRYSTAL ST", "4346 W CRYSTAL ST")</f>
        <v>0</v>
      </c>
      <c r="N194" t="s">
        <v>598</v>
      </c>
      <c r="P194" t="s">
        <v>765</v>
      </c>
      <c r="Q194" t="s">
        <v>946</v>
      </c>
      <c r="U194">
        <f>HYPERLINK("https://www.cookcountyassessoril.gov/pin/16032280230000", "16-03-228-023-0000")</f>
        <v>0</v>
      </c>
      <c r="V194" t="s">
        <v>955</v>
      </c>
    </row>
    <row r="195" spans="1:22">
      <c r="A195">
        <v>194</v>
      </c>
      <c r="B195" t="s">
        <v>193</v>
      </c>
      <c r="C195" t="s">
        <v>389</v>
      </c>
      <c r="D195" t="s">
        <v>407</v>
      </c>
      <c r="I195">
        <v>34602</v>
      </c>
      <c r="K195" t="s">
        <v>594</v>
      </c>
      <c r="L195">
        <f>HYPERLINK("https://maps.cookcountyil.gov/cookviewer/?search=6839 N DOWAGIAC AVE", "6839 N DOWAGIAC AVE")</f>
        <v>0</v>
      </c>
      <c r="N195" t="s">
        <v>598</v>
      </c>
      <c r="P195" t="s">
        <v>766</v>
      </c>
      <c r="Q195" t="s">
        <v>947</v>
      </c>
      <c r="U195">
        <f>HYPERLINK("https://www.cookcountyassessoril.gov/pin/10331120310000", "10-33-112-031-0000")</f>
        <v>0</v>
      </c>
      <c r="V195" t="s">
        <v>955</v>
      </c>
    </row>
    <row r="196" spans="1:22">
      <c r="A196">
        <v>195</v>
      </c>
      <c r="B196" t="s">
        <v>194</v>
      </c>
      <c r="C196" t="s">
        <v>390</v>
      </c>
      <c r="D196" t="s">
        <v>407</v>
      </c>
      <c r="I196">
        <v>40000</v>
      </c>
      <c r="K196" t="s">
        <v>595</v>
      </c>
      <c r="L196">
        <f>HYPERLINK("https://maps.cookcountyil.gov/cookviewer/?search=4930 S CORNELL AVE", "4930 S CORNELL AVE")</f>
        <v>0</v>
      </c>
      <c r="N196" t="s">
        <v>598</v>
      </c>
      <c r="P196" t="s">
        <v>767</v>
      </c>
      <c r="Q196" t="s">
        <v>948</v>
      </c>
      <c r="U196" t="s">
        <v>953</v>
      </c>
      <c r="V196" t="s">
        <v>955</v>
      </c>
    </row>
    <row r="197" spans="1:22">
      <c r="A197">
        <v>196</v>
      </c>
      <c r="B197" t="s">
        <v>193</v>
      </c>
      <c r="C197" t="s">
        <v>391</v>
      </c>
      <c r="D197" t="s">
        <v>407</v>
      </c>
      <c r="I197">
        <v>14348</v>
      </c>
      <c r="K197" t="s">
        <v>594</v>
      </c>
      <c r="L197">
        <f>HYPERLINK("https://maps.cookcountyil.gov/cookviewer/?search=6839 N DOWAGIAC AVE", "6839 N DOWAGIAC AVE")</f>
        <v>0</v>
      </c>
      <c r="N197" t="s">
        <v>598</v>
      </c>
      <c r="P197" t="s">
        <v>766</v>
      </c>
      <c r="Q197" t="s">
        <v>949</v>
      </c>
      <c r="U197">
        <f>HYPERLINK("https://www.cookcountyassessoril.gov/pin/10331120310000", "10-33-112-031-0000")</f>
        <v>0</v>
      </c>
      <c r="V197" t="s">
        <v>955</v>
      </c>
    </row>
    <row r="198" spans="1:22">
      <c r="A198">
        <v>197</v>
      </c>
      <c r="B198" t="s">
        <v>195</v>
      </c>
      <c r="C198" t="s">
        <v>392</v>
      </c>
      <c r="D198" t="s">
        <v>403</v>
      </c>
      <c r="I198">
        <v>26812</v>
      </c>
      <c r="K198" t="s">
        <v>596</v>
      </c>
      <c r="L198">
        <f>HYPERLINK("https://maps.cookcountyil.gov/cookviewer/?search=1728 W 90TH PL", "1728 W 90TH PL")</f>
        <v>0</v>
      </c>
      <c r="N198" t="s">
        <v>598</v>
      </c>
      <c r="P198" t="s">
        <v>768</v>
      </c>
      <c r="Q198" t="s">
        <v>950</v>
      </c>
      <c r="U198">
        <f>HYPERLINK("https://www.cookcountyassessoril.gov/pin/25062200280000", "25-06-220-028-0000")</f>
        <v>0</v>
      </c>
      <c r="V198" t="s">
        <v>955</v>
      </c>
    </row>
    <row r="199" spans="1:22">
      <c r="A199">
        <v>198</v>
      </c>
      <c r="B199" t="s">
        <v>190</v>
      </c>
      <c r="C199" t="s">
        <v>393</v>
      </c>
      <c r="D199" t="s">
        <v>407</v>
      </c>
      <c r="I199">
        <v>3500</v>
      </c>
      <c r="K199" t="s">
        <v>591</v>
      </c>
      <c r="L199">
        <f>HYPERLINK("https://maps.cookcountyil.gov/cookviewer/?search=2815 W SHERWIN AVE", "2815 W SHERWIN AVE")</f>
        <v>0</v>
      </c>
      <c r="N199" t="s">
        <v>598</v>
      </c>
      <c r="P199" t="s">
        <v>763</v>
      </c>
      <c r="Q199" t="s">
        <v>951</v>
      </c>
      <c r="U199">
        <f>HYPERLINK("https://www.cookcountyassessoril.gov/pin/10253240140000", "10-25-324-014-0000")</f>
        <v>0</v>
      </c>
      <c r="V199" t="s">
        <v>954</v>
      </c>
    </row>
    <row r="200" spans="1:22">
      <c r="A200">
        <v>199</v>
      </c>
      <c r="B200" t="s">
        <v>196</v>
      </c>
      <c r="C200" t="s">
        <v>394</v>
      </c>
      <c r="D200" t="s">
        <v>407</v>
      </c>
      <c r="I200">
        <v>39602</v>
      </c>
      <c r="K200" t="s">
        <v>597</v>
      </c>
      <c r="L200">
        <f>HYPERLINK("https://maps.cookcountyil.gov/cookviewer/?search=8158 S SACRAMENTO AVE", "8158 S SACRAMENTO AVE")</f>
        <v>0</v>
      </c>
      <c r="N200" t="s">
        <v>598</v>
      </c>
      <c r="P200" t="s">
        <v>769</v>
      </c>
      <c r="Q200" t="s">
        <v>952</v>
      </c>
      <c r="U200">
        <f>HYPERLINK("https://www.cookcountyassessoril.gov/pin/19361190730000", "19-36-119-073-0000")</f>
        <v>0</v>
      </c>
      <c r="V200" t="s">
        <v>955</v>
      </c>
    </row>
    <row r="201" spans="1:22">
      <c r="A201">
        <v>200</v>
      </c>
      <c r="B201" t="s">
        <v>195</v>
      </c>
      <c r="C201" t="s">
        <v>395</v>
      </c>
      <c r="D201" t="s">
        <v>407</v>
      </c>
      <c r="I201">
        <v>5000</v>
      </c>
      <c r="K201" t="s">
        <v>596</v>
      </c>
      <c r="L201">
        <f>HYPERLINK("https://maps.cookcountyil.gov/cookviewer/?search=1728 W 90TH PL", "1728 W 90TH PL")</f>
        <v>0</v>
      </c>
      <c r="N201" t="s">
        <v>598</v>
      </c>
      <c r="P201" t="s">
        <v>768</v>
      </c>
      <c r="Q201" t="s">
        <v>872</v>
      </c>
      <c r="U201">
        <f>HYPERLINK("https://www.cookcountyassessoril.gov/pin/25062200280000", "25-06-220-028-0000")</f>
        <v>0</v>
      </c>
      <c r="V201" t="s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2025-09-09T20:01:41Z</dcterms:created>
  <dcterms:modified xsi:type="dcterms:W3CDTF">2025-09-09T20:01:41Z</dcterms:modified>
</cp:coreProperties>
</file>