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<sst xmlns="http://schemas.openxmlformats.org/spreadsheetml/2006/main" count="314" uniqueCount="205">
  <si>
    <t># [LLINE]</t>
  </si>
  <si>
    <t>PIN* [PARID]</t>
  </si>
  <si>
    <t>Local Permit No.* [USER28]</t>
  </si>
  <si>
    <t>Issue Date* [PERMDT]</t>
  </si>
  <si>
    <t>Desc 1* [DESC1]</t>
  </si>
  <si>
    <t>Desc 2 Code 1 [USER6]</t>
  </si>
  <si>
    <t>Desc 2 Code 2 [USER7]</t>
  </si>
  <si>
    <t>Desc 2 Code 3 [USER8]</t>
  </si>
  <si>
    <t>Amount* [AMOUNT]</t>
  </si>
  <si>
    <t>Assessable [IS_ASSESS]</t>
  </si>
  <si>
    <t>Applicant Street Address* [ADDR1]</t>
  </si>
  <si>
    <t>Property Address</t>
  </si>
  <si>
    <t>Applicant Address 2 [ADDR2]</t>
  </si>
  <si>
    <t>Applicant City, State, Zip* [ADDR3]</t>
  </si>
  <si>
    <t>Contact Phone* [PHONE]</t>
  </si>
  <si>
    <t>Applicant* [USER21]</t>
  </si>
  <si>
    <t>Notes [NOTE1]</t>
  </si>
  <si>
    <t>Occupy Dt [UDATE1]</t>
  </si>
  <si>
    <t>Submit Dt* [CERTDATE]</t>
  </si>
  <si>
    <t>Est Comp Dt [UDATE2]</t>
  </si>
  <si>
    <t>Suggested PINs</t>
  </si>
  <si>
    <t>Likely_Assessable</t>
  </si>
  <si>
    <t>user21</t>
  </si>
  <si>
    <t>19354110640000</t>
  </si>
  <si>
    <t>17221101070000</t>
  </si>
  <si>
    <t>17062210330000</t>
  </si>
  <si>
    <t>19253190030000</t>
  </si>
  <si>
    <t>17192230180000</t>
  </si>
  <si>
    <t>14051030150000</t>
  </si>
  <si>
    <t>13191300480000</t>
  </si>
  <si>
    <t>25012030200000</t>
  </si>
  <si>
    <t>17162450010000</t>
  </si>
  <si>
    <t>14314170290000</t>
  </si>
  <si>
    <t>14191120020000</t>
  </si>
  <si>
    <t>13062170210000</t>
  </si>
  <si>
    <t>25214230050000</t>
  </si>
  <si>
    <t>25211010100000</t>
  </si>
  <si>
    <t>19273180420000</t>
  </si>
  <si>
    <t>10362270140000</t>
  </si>
  <si>
    <t>25271000050000</t>
  </si>
  <si>
    <t>14321120110000</t>
  </si>
  <si>
    <t>16042040090000</t>
  </si>
  <si>
    <t>13072040440000</t>
  </si>
  <si>
    <t>20323150290000</t>
  </si>
  <si>
    <t>25151180450000</t>
  </si>
  <si>
    <t>25174200500000</t>
  </si>
  <si>
    <t>14053160230000</t>
  </si>
  <si>
    <t>13131210100000</t>
  </si>
  <si>
    <t>17094270040000</t>
  </si>
  <si>
    <t>25164260100000</t>
  </si>
  <si>
    <t>13104030310000</t>
  </si>
  <si>
    <t>19242000190000</t>
  </si>
  <si>
    <t>13323080040000</t>
  </si>
  <si>
    <t>10254260060000</t>
  </si>
  <si>
    <t>17332230430000</t>
  </si>
  <si>
    <t>14191010300000</t>
  </si>
  <si>
    <t>11323190010000</t>
  </si>
  <si>
    <t>13351190070000</t>
  </si>
  <si>
    <t>B200440138</t>
  </si>
  <si>
    <t>B200440139</t>
  </si>
  <si>
    <t>B200440142</t>
  </si>
  <si>
    <t>B200440144</t>
  </si>
  <si>
    <t>B200440151</t>
  </si>
  <si>
    <t>B200440152</t>
  </si>
  <si>
    <t>B200440171</t>
  </si>
  <si>
    <t>B200440176</t>
  </si>
  <si>
    <t>B200440188</t>
  </si>
  <si>
    <t>B200440204</t>
  </si>
  <si>
    <t>B200440217</t>
  </si>
  <si>
    <t>B200440228</t>
  </si>
  <si>
    <t>B200440232</t>
  </si>
  <si>
    <t>B200440244</t>
  </si>
  <si>
    <t>B200440255</t>
  </si>
  <si>
    <t>B200440257</t>
  </si>
  <si>
    <t>B200440259</t>
  </si>
  <si>
    <t>B200440272</t>
  </si>
  <si>
    <t>B200440276</t>
  </si>
  <si>
    <t>B200440277</t>
  </si>
  <si>
    <t>B200440281</t>
  </si>
  <si>
    <t>B200440284</t>
  </si>
  <si>
    <t>B200440287</t>
  </si>
  <si>
    <t>B200440288</t>
  </si>
  <si>
    <t>B200440294</t>
  </si>
  <si>
    <t>B200440301</t>
  </si>
  <si>
    <t>B200440319</t>
  </si>
  <si>
    <t>B200440324</t>
  </si>
  <si>
    <t>B200440362</t>
  </si>
  <si>
    <t>B200440375</t>
  </si>
  <si>
    <t>B200440391</t>
  </si>
  <si>
    <t>B200440394</t>
  </si>
  <si>
    <t>B200440396</t>
  </si>
  <si>
    <t>B200440403</t>
  </si>
  <si>
    <t>B200440412</t>
  </si>
  <si>
    <t>B200440453</t>
  </si>
  <si>
    <t>8/29/2025</t>
  </si>
  <si>
    <t>8/28/2025</t>
  </si>
  <si>
    <t>8/30/2025</t>
  </si>
  <si>
    <t>3238 W 84TH PL</t>
  </si>
  <si>
    <t>1515 S PRAIRIE AVE</t>
  </si>
  <si>
    <t>1620 W BLACKHAWK ST</t>
  </si>
  <si>
    <t>3051 W 77TH ST</t>
  </si>
  <si>
    <t>1540 S ASHLAND AVE</t>
  </si>
  <si>
    <t>1423 W HIGHLAND AVE</t>
  </si>
  <si>
    <t>3620 N NORA AVE</t>
  </si>
  <si>
    <t>8743 S MERRILL AVE</t>
  </si>
  <si>
    <t>55 W VAN BUREN ST</t>
  </si>
  <si>
    <t>1728 N WOLCOTT AVE</t>
  </si>
  <si>
    <t>3853 N LEAVITT ST</t>
  </si>
  <si>
    <t>6058 N NAVARRE AVE</t>
  </si>
  <si>
    <t>311 W 118TH ST</t>
  </si>
  <si>
    <t>11143 S EMERALD AVE</t>
  </si>
  <si>
    <t>4410 W 77TH PL</t>
  </si>
  <si>
    <t>2723 W FARWELL AVE</t>
  </si>
  <si>
    <t>11921 S STATE ST</t>
  </si>
  <si>
    <t>2215 N LAKEWOOD AVE</t>
  </si>
  <si>
    <t>4951 W NORTH AVE</t>
  </si>
  <si>
    <t>5509 N NATOMA AVE</t>
  </si>
  <si>
    <t>8526 S JUSTINE ST</t>
  </si>
  <si>
    <t>10524 S WABASH AVE</t>
  </si>
  <si>
    <t>10963 S MORGAN ST</t>
  </si>
  <si>
    <t>1459 W VICTORIA ST</t>
  </si>
  <si>
    <t>4535 N SACRAMENTO AVE</t>
  </si>
  <si>
    <t>150 N WACKER DR</t>
  </si>
  <si>
    <t>31 W 110TH ST</t>
  </si>
  <si>
    <t>5130 N KEELER AVE</t>
  </si>
  <si>
    <t>6320 S FAIRFIELD AVE</t>
  </si>
  <si>
    <t>1729 N NARRAGANSETT AVE</t>
  </si>
  <si>
    <t>2639 W JARLATH ST</t>
  </si>
  <si>
    <t>3440 S DEARBORN ST</t>
  </si>
  <si>
    <t>3922 N OAKLEY AVE</t>
  </si>
  <si>
    <t>6565 N LAKEWOOD AVE</t>
  </si>
  <si>
    <t>3743 W PALMER ST</t>
  </si>
  <si>
    <t>CHICAGO, IL</t>
  </si>
  <si>
    <t>ROMERO ADRIAN</t>
  </si>
  <si>
    <t>PRAIRIE HOUSE AT CENTRAL STATION</t>
  </si>
  <si>
    <t>MAGNA JONATHAN</t>
  </si>
  <si>
    <t>ROBINSON MICHAEL</t>
  </si>
  <si>
    <t>DAVIES EMILY</t>
  </si>
  <si>
    <t>ORTINAU KEVIN</t>
  </si>
  <si>
    <t>MOZDZIERZ TOMASZ</t>
  </si>
  <si>
    <t>LAWAL KENNETH</t>
  </si>
  <si>
    <t>USONIS ZERALDAS</t>
  </si>
  <si>
    <t>WALCZAK MICHAEL</t>
  </si>
  <si>
    <t>KENNY JOHN</t>
  </si>
  <si>
    <t>JAMES ALLISON</t>
  </si>
  <si>
    <t>SMITH JOSEPH</t>
  </si>
  <si>
    <t>WHEATON JONICE</t>
  </si>
  <si>
    <t>ESCOBAR JUAN</t>
  </si>
  <si>
    <t>SMART KRISTIN</t>
  </si>
  <si>
    <t>LOUIS WALLACE</t>
  </si>
  <si>
    <t>WANG KEN</t>
  </si>
  <si>
    <t>SPIRIT HALLOWEEN</t>
  </si>
  <si>
    <t>CASTANEDA NATHANIEL</t>
  </si>
  <si>
    <t>SMITH TANISHA</t>
  </si>
  <si>
    <t>MAGDAN CONSTRUCTION INC</t>
  </si>
  <si>
    <t>BROWN DOROTHY</t>
  </si>
  <si>
    <t>UCHIYAMA ELIZABETH</t>
  </si>
  <si>
    <t>RACKE JEAN</t>
  </si>
  <si>
    <t>JONES LANG LASALLE - MIDWEST MEZZANINE FUNDS</t>
  </si>
  <si>
    <t>GARCIA MICHELLE</t>
  </si>
  <si>
    <t>SIDEA CATALINA</t>
  </si>
  <si>
    <t>CAMPOS ELIAS</t>
  </si>
  <si>
    <t>NEGRON IRMA</t>
  </si>
  <si>
    <t>ZAYAN JOSEPH</t>
  </si>
  <si>
    <t>KASHIV BIOSCIENCES, LLC</t>
  </si>
  <si>
    <t>LAMBERT CHRIS</t>
  </si>
  <si>
    <t>TFG 6565 LAKEWOOD LLC</t>
  </si>
  <si>
    <t>SIDER MOLLY</t>
  </si>
  <si>
    <t>INSTALL SOLAR PANELS ON ROOF OF PRINCIPAL BUILDING. ROOF TYPE: SLOPED (2:12 TO 5:12). INVERTER OUTPUT: 10 KW. ARRAY OUTPUT: 7.38 KW.   INCLUDES 13.5 KWH ENERGY STORAGE SYSTEM.  LOCATION: ROOF PLANES OF HOME. ICC DISTRIBUTED GENERATION INSTALLER CERT. #18-0817. | SPECIAL CONDITION: * NEC REFERENCES TO BE OMITTED FROM DRAWINGS, ALL GENERAL ELECTRICAL NOTES SHALL REFERENCE CEC 2018. * REFER TO ELECTRICAL PERMIT B200439606.* ALL EQUIPMENT, CONNECTORS, RACEWAYS, TAPS, MUST BE LISTED AND LABELED FOR USE.</t>
  </si>
  <si>
    <t>SCOPE: ROOF REPLACEMENT. AREA: 10200 SQ. FT. ROOF COVERING: OTHER. LOCATION: ROOF TOP. IL ROOFING CONTRACTOR LICENSE: 104000224.</t>
  </si>
  <si>
    <t>TUCKPOINTING AND UNIT MASONRY REPAIR / REPLACEMENT: 300 SQ. FT., LINTEL QTY. 0, MAX. LENGTH 0. PARAPET REBUILDING: 110 SQ. FT. LOCATION: WEST SOUTH AND EAST ELEVATION.</t>
  </si>
  <si>
    <t>INSTALL SOLAR PANELS ON ROOF OF PRINCIPAL BUILDING. ROOF TYPE: SLOPED (2:12 TO 5:12). INVERTER OUTPUT: 10 KW. ARRAY OUTPUT: 7.79 KW.   INCLUDES 13.5 KWH ENERGY STORAGE SYSTEM.  LOCATION: ROOF PLANES OF HOME. ICC DISTRIBUTED GENERATION INSTALLER CERT. #18-0817. | SPECIAL CONDITION: * NEC REFERENCES TO BE OMITTED FROM DRAWINGS, ALL GENERAL ELECTRICAL NOTES SHALL REFERENCE CEC 2018. * REFER TO ELECTRICAL PERMIT B200440152.* ALL EQUIPMENT, CONNECTORS, RACEWAYS, TAPS, MUST BE LISTED AND LABELED FOR USE.</t>
  </si>
  <si>
    <t>TUCKPOINTING AND UNIT MASONRY REPAIR / REPLACEMENT: 500 SQ. FT., LINTEL QTY. 0, MAX. LENGTH 0. LOCATION: EXTERIOR GRINDING.</t>
  </si>
  <si>
    <t>LINE VOLTAGE ELECTRICAL WORK. NEW PERMANENT 200 AMP SERVICE DISCONNECTING MEANS WITH 1 CIRCUITS. RECEPTACLE OUTLETS: 1 . LIGHTING OUTLETS: 0. 13.5 KWH LITHIUM ION ENERGY STORAGE SYSTEM. SPECIFIC LOCATION: EXTERIOR WALL.</t>
  </si>
  <si>
    <t>REPAIR OR IN-KIND REPLACEMENT OF 3 PLUMBING FIXTURES AS DESCRIBED IN PERMIT APPLICATION.  LOCATIONS: 1 RESIDENTIAL UNIT(S), 0 NON-RESIDENTIAL UNIT(S), 2ND FLOOR BATHROOM REMODEL.</t>
  </si>
  <si>
    <t>TUCKPOINTING AND UNIT MASONRY REPAIR / REPLACEMENT: 1600 SQ. FT., LINTEL QTY. 0, MAX. LENGTH 0. LOCATION: MASONRY REPAIR WORK.</t>
  </si>
  <si>
    <t>LINE VOLTAGE ELECTRICAL WORK. NEW PERMANENT 125 AMP SERVICE DISCONNECTING MEANS WITH 1 CIRCUITS. RECEPTACLE OUTLETS: 1 . LIGHTING OUTLETS: 0. 13.5 KWH LITHIUM ION ENERGY STORAGE SYSTEM. SPECIFIC LOCATION: EXTERIOR.</t>
  </si>
  <si>
    <t>LINE VOLTAGE ELECTRICAL WORK. REPAIR OR ALTER DEVICES ON EXISTING CIRCUITS. RECEPTACLE OUTLETS: 1 . LIGHTING OUTLETS: 0. SPECIFIC LOCATION: ROOF TOP.</t>
  </si>
  <si>
    <t>SCOPE: ROOF REPLACEMENT. AREA: 1100 SQ. FT. ROOF COVERING: BUILT-UP ROOF. LOCATION: ROOF ON TOP OF HOUSE. IL ROOFING CONTRACTOR LICENSE: 104.02026.</t>
  </si>
  <si>
    <t>LINE VOLTAGE ELECTRICAL WORK. ADD 1 CIRCUITS TO EXISTING 100 AMP SERVICE DISCONNECTING MEANS. RECEPTACLE OUTLETS: 1 . LIGHTING OUTLETS: 0. ELECTRIC VEHICLE SUPPLY EQUIPMENT:1 SPACES. SPECIFIC LOCATION: BASEMENT AND GARAGE.</t>
  </si>
  <si>
    <t>PURPOSE: NEW/REPLACEMENT INSTALLATION. VINYL/PVC FENCE - 6'-0' ' (HEIGHT) X 249'-0' ' (LENGTH). LOCATION: BACKYARD.</t>
  </si>
  <si>
    <t>LINE VOLTAGE ELECTRICAL WORK. NEW PERMANENT 200 AMP SERVICE DISCONNECTING MEANS WITH 40 CIRCUITS. RECEPTACLE OUTLETS: 6 . LIGHTING OUTLETS: 4. SPECIFIC LOCATION: WEST BASMENT AND EXTERIOR WALL.</t>
  </si>
  <si>
    <t>REPAIR OR IN-KIND REPLACEMENT OF 13 PLUMBING FIXTURES AS DESCRIBED IN PERMIT APPLICATION.  REPAIR OR IN-KIND REPLACEMENT OF HOT WATER HEATER(S).  INCLUDES REPAIR OR REPLACMENT OF PLUMBING PIPING.  LOCATIONS: 3 RESIDENTIAL UNIT(S), 1 NON-RESIDENTIAL UNIT(S), 1 INTERIOR COMMON AREAS, BASEMENT, APT 1, APT 2, APT 3.</t>
  </si>
  <si>
    <t>LINE VOLTAGE ELECTRICAL WORK. NEW PERMANENT 100 AMP SERVICE DISCONNECTING MEANS WITH 1 CIRCUITS. RECEPTACLE OUTLETS: 1 . LIGHTING OUTLETS: 1. SPECIFIC LOCATION: GARAGE.</t>
  </si>
  <si>
    <t>SCOPE: ROOF REPLACEMENT. AREA: 1496 SQ. FT. ROOF COVERING: MINERAL - SURFACED ROLL ROOFING. LOCATION: ON THE ROOF TOP OF BUILDING. IL ROOFING CONTRACTOR LICENSE: 104018798.</t>
  </si>
  <si>
    <t>LINE VOLTAGE ELECTRICAL WORK. REPAIR OR ALTER DEVICES ON EXISTING CIRCUITS. RECEPTACLE OUTLETS: 6 . LIGHTING OUTLETS: 0. SPECIFIC LOCATION: STOREFRONT.</t>
  </si>
  <si>
    <t>LINE VOLTAGE ELECTRICAL WORK. NEW PERMANENT 200 AMP SERVICE DISCONNECTING MEANS WITH 1 CIRCUITS. RECEPTACLE OUTLETS: 1 . LIGHTING OUTLETS: 0. 13.5 KWH LITHIUM ION ENERGY STORAGE SYSTEM. SPECIFIC LOCATION: EXTERIOR.</t>
  </si>
  <si>
    <t>LINE VOLTAGE ELECTRICAL WORK. NEW PERMANENT 100 AMP SERVICE DISCONNECTING MEANS WITH 1 CIRCUITS. RECEPTACLE OUTLETS: 1 . LIGHTING OUTLETS: 0. 13.5 KWH LITHIUM ION ENERGY STORAGE SYSTEM. SPECIFIC LOCATION: EXTERIOR, SERVICE CONDUCTOR, TRENCHING.</t>
  </si>
  <si>
    <t>SCOPE: ROOF REPLACEMENT. AREA: 1100 SQ. FT. ROOF COVERING: BUILT-UP ROOF. LOCATION: ROOF REPLACEMENT DUE TO MULTIPLE LAYERS PER CODE. IL ROOFING CONTRACTOR LICENSE: 104016500.</t>
  </si>
  <si>
    <t>LINE VOLTAGE ELECTRICAL WORK. NEW PERMANENT 225 AMP SERVICE DISCONNECTING MEANS WITH 1 CIRCUITS. RECEPTACLE OUTLETS: 1 . LIGHTING OUTLETS: 0. 13.5 KWH LITHIUM ION ENERGY STORAGE SYSTEM. SPECIFIC LOCATION: EXTERIOR, SPAN MAIN PANEL.</t>
  </si>
  <si>
    <t>TUCKPOINTING AND UNIT MASONRY REPAIR / REPLACEMENT: 350 SQ. FT., LINTEL QTY. 3, MAX. LENGTH 5. LOCATION: FRONT, WEST WALL BASEMENT, EAST WALL.</t>
  </si>
  <si>
    <t>LINE VOLTAGE ELECTRICAL WORK. NEW PERMANENT 200 AMP SERVICE DISCONNECTING MEANS WITH 15 CIRCUITS. RECEPTACLE OUTLETS: 1 . LIGHTING OUTLETS: 0. SPECIFIC LOCATION: BASEMENT.</t>
  </si>
  <si>
    <t>LOW VOLTAGE/COMMUNICATION ELECTRICAL WORK. INSTALL SECURITY. SPECIFIC LOCATION: SUITE 2570 FLR 25.</t>
  </si>
  <si>
    <t>PURPOSE: LEGALIZE UNPERMITTED WORK. WROUGHT IRON FENCE - 6'-0' ' (HEIGHT) X 300'-0' ' (LENGTH). LOCATION: FENCE.</t>
  </si>
  <si>
    <t>LINE VOLTAGE ELECTRICAL WORK. NEW PERMANENT 100 AMP SERVICE DISCONNECTING MEANS WITH 1 CIRCUITS. RECEPTACLE OUTLETS: 1 . LIGHTING OUTLETS: 0. SPECIFIC LOCATION: EXTERIOR AND BASEMENT.</t>
  </si>
  <si>
    <t>LINE VOLTAGE ELECTRICAL WORK. NEW PERMANENT 125 AMP SERVICE DISCONNECTING MEANS WITH 1 CIRCUITS. RECEPTACLE OUTLETS: 1 . LIGHTING OUTLETS: 0. 13.5 KWH LITHIUM ION ENERGY STORAGE SYSTEM. SPECIFIC LOCATION: EXTERIOR WALL.</t>
  </si>
  <si>
    <t>LINE VOLTAGE ELECTRICAL WORK. NEW PERMANENT 200 AMP SERVICE DISCONNECTING MEANS WITH 20 CIRCUITS. RECEPTACLE OUTLETS: 1 . LIGHTING OUTLETS: 0. SPECIFIC LOCATION: BASEMENT AND REAR OF HOUSE.</t>
  </si>
  <si>
    <t>PURPOSE: NEW/REPLACEMENT INSTALLATION. WOOD FENCE - 6'-0' ' (HEIGHT) X 26'-0' ' (LENGTH). LOCATION: REAR OF THE PROPERTY.</t>
  </si>
  <si>
    <t>LOW VOLTAGE/COMMUNICATION ELECTRICAL WORK. INSTALL SECURITY. SPECIFIC LOCATION: SUITE 300.</t>
  </si>
  <si>
    <t>PURPOSE: NEW/REPLACEMENT INSTALLATION. WOOD FENCE - 5'-10' ' (HEIGHT) X 4'-0' ' (LENGTH). LOCATION: GANGWAY ON NORTH SIDE OF RESIDENCE.</t>
  </si>
  <si>
    <t>TUCKPOINTING AND UNIT MASONRY REPAIR / REPLACEMENT: 700 SQ. FT., LINTEL QTY. 0, MAX. LENGTH 0. LOCATION: AROUND THE ENTIRE BUILDING AND COURTYARD.</t>
  </si>
  <si>
    <t>LINE VOLTAGE ELECTRICAL WORK. REPAIR OR ALTER DEVICES ON EXISTING CIRCUITS. RECEPTACLE OUTLETS: 1 . LIGHTING OUTLETS: 1. SPECIFIC LOCATION: KITCHEN.</t>
  </si>
  <si>
    <t>NO PIN FOUND</t>
  </si>
  <si>
    <t>Yes</t>
  </si>
  <si>
    <t>No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</si>
</sst>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7"/>
  <sheetViews>
    <sheetView tabSelected="1" workbookViewId="0"/>
  </sheetViews>
  <sheetFormatPr defaultRowHeight="15"/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>
        <v>1</v>
      </c>
      <c r="B2" t="s">
        <v>23</v>
      </c>
      <c r="C2" t="s">
        <v>58</v>
      </c>
      <c r="D2" t="s">
        <v>94</v>
      </c>
      <c r="I2">
        <v>19022</v>
      </c>
      <c r="K2" t="s">
        <v>97</v>
      </c>
      <c r="L2">
        <f>HYPERLINK("https://maps.cookcountyil.gov/cookviewer/?search=3238 W 84TH PL", "3238 W 84TH PL")</f>
        <v>0</v>
      </c>
      <c r="N2" t="s">
        <v>132</v>
      </c>
      <c r="P2" t="s">
        <v>133</v>
      </c>
      <c r="Q2" t="s">
        <v>168</v>
      </c>
      <c r="U2">
        <f>HYPERLINK("https://www.cookcountyassessoril.gov/pin/19354110640000", "19-35-411-064-0000")</f>
        <v>0</v>
      </c>
      <c r="V2" t="s">
        <v>203</v>
      </c>
    </row>
    <row r="3" spans="1:23">
      <c r="A3">
        <v>2</v>
      </c>
      <c r="B3" t="s">
        <v>24</v>
      </c>
      <c r="C3" t="s">
        <v>59</v>
      </c>
      <c r="D3" t="s">
        <v>94</v>
      </c>
      <c r="I3">
        <v>558700</v>
      </c>
      <c r="K3" t="s">
        <v>98</v>
      </c>
      <c r="L3">
        <f>HYPERLINK("https://maps.cookcountyil.gov/cookviewer/?search=1515 S PRAIRIE AVE", "1515 S PRAIRIE AVE")</f>
        <v>0</v>
      </c>
      <c r="N3" t="s">
        <v>132</v>
      </c>
      <c r="P3" t="s">
        <v>134</v>
      </c>
      <c r="Q3" t="s">
        <v>169</v>
      </c>
      <c r="U3" t="s">
        <v>202</v>
      </c>
      <c r="V3" t="s">
        <v>203</v>
      </c>
    </row>
    <row r="4" spans="1:23">
      <c r="A4">
        <v>3</v>
      </c>
      <c r="B4" t="s">
        <v>25</v>
      </c>
      <c r="C4" t="s">
        <v>60</v>
      </c>
      <c r="D4" t="s">
        <v>94</v>
      </c>
      <c r="I4">
        <v>29700</v>
      </c>
      <c r="K4" t="s">
        <v>99</v>
      </c>
      <c r="L4">
        <f>HYPERLINK("https://maps.cookcountyil.gov/cookviewer/?search=1620 W BLACKHAWK ST", "1620 W BLACKHAWK ST")</f>
        <v>0</v>
      </c>
      <c r="N4" t="s">
        <v>132</v>
      </c>
      <c r="P4" t="s">
        <v>135</v>
      </c>
      <c r="Q4" t="s">
        <v>170</v>
      </c>
      <c r="U4">
        <f>HYPERLINK("https://www.cookcountyassessoril.gov/pin/17062210330000", "17-06-221-033-0000")</f>
        <v>0</v>
      </c>
      <c r="V4" t="s">
        <v>204</v>
      </c>
    </row>
    <row r="5" spans="1:23">
      <c r="A5">
        <v>4</v>
      </c>
      <c r="B5" t="s">
        <v>26</v>
      </c>
      <c r="C5" t="s">
        <v>61</v>
      </c>
      <c r="D5" t="s">
        <v>94</v>
      </c>
      <c r="I5">
        <v>19801</v>
      </c>
      <c r="K5" t="s">
        <v>100</v>
      </c>
      <c r="L5">
        <f>HYPERLINK("https://maps.cookcountyil.gov/cookviewer/?search=3051 W 77TH ST", "3051 W 77TH ST")</f>
        <v>0</v>
      </c>
      <c r="N5" t="s">
        <v>132</v>
      </c>
      <c r="P5" t="s">
        <v>136</v>
      </c>
      <c r="Q5" t="s">
        <v>171</v>
      </c>
      <c r="U5">
        <f>HYPERLINK("https://www.cookcountyassessoril.gov/pin/19253190030000", "19-25-319-003-0000")</f>
        <v>0</v>
      </c>
      <c r="V5" t="s">
        <v>203</v>
      </c>
    </row>
    <row r="6" spans="1:23">
      <c r="A6">
        <v>5</v>
      </c>
      <c r="B6" t="s">
        <v>27</v>
      </c>
      <c r="C6" t="s">
        <v>62</v>
      </c>
      <c r="D6" t="s">
        <v>95</v>
      </c>
      <c r="I6">
        <v>3500</v>
      </c>
      <c r="K6" t="s">
        <v>101</v>
      </c>
      <c r="L6">
        <f>HYPERLINK("https://maps.cookcountyil.gov/cookviewer/?search=1540 S ASHLAND AVE", "1540 S ASHLAND AVE")</f>
        <v>0</v>
      </c>
      <c r="N6" t="s">
        <v>132</v>
      </c>
      <c r="P6" t="s">
        <v>137</v>
      </c>
      <c r="Q6" t="s">
        <v>172</v>
      </c>
      <c r="U6" t="s">
        <v>202</v>
      </c>
      <c r="V6" t="s">
        <v>204</v>
      </c>
    </row>
    <row r="7" spans="1:23">
      <c r="A7">
        <v>6</v>
      </c>
      <c r="B7" t="s">
        <v>26</v>
      </c>
      <c r="C7" t="s">
        <v>63</v>
      </c>
      <c r="D7" t="s">
        <v>95</v>
      </c>
      <c r="I7">
        <v>5000</v>
      </c>
      <c r="K7" t="s">
        <v>100</v>
      </c>
      <c r="L7">
        <f>HYPERLINK("https://maps.cookcountyil.gov/cookviewer/?search=3051 W 77TH ST", "3051 W 77TH ST")</f>
        <v>0</v>
      </c>
      <c r="N7" t="s">
        <v>132</v>
      </c>
      <c r="P7" t="s">
        <v>136</v>
      </c>
      <c r="Q7" t="s">
        <v>173</v>
      </c>
      <c r="U7">
        <f>HYPERLINK("https://www.cookcountyassessoril.gov/pin/19253190030000", "19-25-319-003-0000")</f>
        <v>0</v>
      </c>
      <c r="V7" t="s">
        <v>204</v>
      </c>
    </row>
    <row r="8" spans="1:23">
      <c r="A8">
        <v>7</v>
      </c>
      <c r="B8" t="s">
        <v>28</v>
      </c>
      <c r="C8" t="s">
        <v>64</v>
      </c>
      <c r="D8" t="s">
        <v>96</v>
      </c>
      <c r="I8">
        <v>2500</v>
      </c>
      <c r="K8" t="s">
        <v>102</v>
      </c>
      <c r="L8">
        <f>HYPERLINK("https://maps.cookcountyil.gov/cookviewer/?search=1423 W HIGHLAND AVE", "1423 W HIGHLAND AVE")</f>
        <v>0</v>
      </c>
      <c r="N8" t="s">
        <v>132</v>
      </c>
      <c r="P8" t="s">
        <v>138</v>
      </c>
      <c r="Q8" t="s">
        <v>174</v>
      </c>
      <c r="U8">
        <f>HYPERLINK("https://www.cookcountyassessoril.gov/pin/14051030150000", "14-05-103-015-0000")</f>
        <v>0</v>
      </c>
      <c r="V8" t="s">
        <v>203</v>
      </c>
    </row>
    <row r="9" spans="1:23">
      <c r="A9">
        <v>8</v>
      </c>
      <c r="B9" t="s">
        <v>29</v>
      </c>
      <c r="C9" t="s">
        <v>65</v>
      </c>
      <c r="D9" t="s">
        <v>95</v>
      </c>
      <c r="I9">
        <v>6500</v>
      </c>
      <c r="K9" t="s">
        <v>103</v>
      </c>
      <c r="L9">
        <f>HYPERLINK("https://maps.cookcountyil.gov/cookviewer/?search=3620 N NORA AVE", "3620 N NORA AVE")</f>
        <v>0</v>
      </c>
      <c r="N9" t="s">
        <v>132</v>
      </c>
      <c r="P9" t="s">
        <v>139</v>
      </c>
      <c r="Q9" t="s">
        <v>175</v>
      </c>
      <c r="U9">
        <f>HYPERLINK("https://www.cookcountyassessoril.gov/pin/13191300480000", "13-19-130-048-0000")</f>
        <v>0</v>
      </c>
      <c r="V9" t="s">
        <v>204</v>
      </c>
    </row>
    <row r="10" spans="1:23">
      <c r="A10">
        <v>9</v>
      </c>
      <c r="B10" t="s">
        <v>30</v>
      </c>
      <c r="C10" t="s">
        <v>66</v>
      </c>
      <c r="D10" t="s">
        <v>95</v>
      </c>
      <c r="I10">
        <v>5000</v>
      </c>
      <c r="K10" t="s">
        <v>104</v>
      </c>
      <c r="L10">
        <f>HYPERLINK("https://maps.cookcountyil.gov/cookviewer/?search=8743 S MERRILL AVE", "8743 S MERRILL AVE")</f>
        <v>0</v>
      </c>
      <c r="N10" t="s">
        <v>132</v>
      </c>
      <c r="P10" t="s">
        <v>140</v>
      </c>
      <c r="Q10" t="s">
        <v>176</v>
      </c>
      <c r="U10">
        <f>HYPERLINK("https://www.cookcountyassessoril.gov/pin/25012030200000", "25-01-203-020-0000")</f>
        <v>0</v>
      </c>
      <c r="V10" t="s">
        <v>204</v>
      </c>
    </row>
    <row r="11" spans="1:23">
      <c r="A11">
        <v>10</v>
      </c>
      <c r="B11" t="s">
        <v>31</v>
      </c>
      <c r="C11" t="s">
        <v>67</v>
      </c>
      <c r="D11" t="s">
        <v>95</v>
      </c>
      <c r="I11">
        <v>5000</v>
      </c>
      <c r="K11" t="s">
        <v>105</v>
      </c>
      <c r="L11">
        <f>HYPERLINK("https://maps.cookcountyil.gov/cookviewer/?search=55 W VAN BUREN ST", "55 W VAN BUREN ST")</f>
        <v>0</v>
      </c>
      <c r="N11" t="s">
        <v>132</v>
      </c>
      <c r="P11" t="s">
        <v>141</v>
      </c>
      <c r="Q11" t="s">
        <v>177</v>
      </c>
      <c r="U11" t="s">
        <v>202</v>
      </c>
      <c r="V11" t="s">
        <v>203</v>
      </c>
    </row>
    <row r="12" spans="1:23">
      <c r="A12">
        <v>11</v>
      </c>
      <c r="B12" t="s">
        <v>32</v>
      </c>
      <c r="C12" t="s">
        <v>68</v>
      </c>
      <c r="D12" t="s">
        <v>95</v>
      </c>
      <c r="I12">
        <v>12000</v>
      </c>
      <c r="K12" t="s">
        <v>106</v>
      </c>
      <c r="L12">
        <f>HYPERLINK("https://maps.cookcountyil.gov/cookviewer/?search=1728 N WOLCOTT AVE", "1728 N WOLCOTT AVE")</f>
        <v>0</v>
      </c>
      <c r="N12" t="s">
        <v>132</v>
      </c>
      <c r="P12" t="s">
        <v>142</v>
      </c>
      <c r="Q12" t="s">
        <v>178</v>
      </c>
      <c r="U12">
        <f>HYPERLINK("https://www.cookcountyassessoril.gov/pin/14314170290000", "14-31-417-029-0000")</f>
        <v>0</v>
      </c>
      <c r="V12" t="s">
        <v>203</v>
      </c>
    </row>
    <row r="13" spans="1:23">
      <c r="A13">
        <v>12</v>
      </c>
      <c r="B13" t="s">
        <v>33</v>
      </c>
      <c r="C13" t="s">
        <v>69</v>
      </c>
      <c r="D13" t="s">
        <v>95</v>
      </c>
      <c r="I13">
        <v>2950</v>
      </c>
      <c r="K13" t="s">
        <v>107</v>
      </c>
      <c r="L13">
        <f>HYPERLINK("https://maps.cookcountyil.gov/cookviewer/?search=3853 N LEAVITT ST", "3853 N LEAVITT ST")</f>
        <v>0</v>
      </c>
      <c r="N13" t="s">
        <v>132</v>
      </c>
      <c r="P13" t="s">
        <v>143</v>
      </c>
      <c r="Q13" t="s">
        <v>179</v>
      </c>
      <c r="U13">
        <f>HYPERLINK("https://www.cookcountyassessoril.gov/pin/14191120020000", "14-19-112-002-0000")</f>
        <v>0</v>
      </c>
      <c r="V13" t="s">
        <v>204</v>
      </c>
    </row>
    <row r="14" spans="1:23">
      <c r="A14">
        <v>13</v>
      </c>
      <c r="B14" t="s">
        <v>34</v>
      </c>
      <c r="C14" t="s">
        <v>70</v>
      </c>
      <c r="D14" t="s">
        <v>94</v>
      </c>
      <c r="I14">
        <v>22594</v>
      </c>
      <c r="K14" t="s">
        <v>108</v>
      </c>
      <c r="L14">
        <f>HYPERLINK("https://maps.cookcountyil.gov/cookviewer/?search=6058 N NAVARRE AVE", "6058 N NAVARRE AVE")</f>
        <v>0</v>
      </c>
      <c r="N14" t="s">
        <v>132</v>
      </c>
      <c r="P14" t="s">
        <v>144</v>
      </c>
      <c r="Q14" t="s">
        <v>180</v>
      </c>
      <c r="U14">
        <f>HYPERLINK("https://www.cookcountyassessoril.gov/pin/13062170210000", "13-06-217-021-0000")</f>
        <v>0</v>
      </c>
      <c r="V14" t="s">
        <v>204</v>
      </c>
    </row>
    <row r="15" spans="1:23">
      <c r="A15">
        <v>14</v>
      </c>
      <c r="B15" t="s">
        <v>35</v>
      </c>
      <c r="C15" t="s">
        <v>71</v>
      </c>
      <c r="D15" t="s">
        <v>95</v>
      </c>
      <c r="I15">
        <v>2500</v>
      </c>
      <c r="K15" t="s">
        <v>109</v>
      </c>
      <c r="L15">
        <f>HYPERLINK("https://maps.cookcountyil.gov/cookviewer/?search=311 W 118TH ST", "311 W 118TH ST")</f>
        <v>0</v>
      </c>
      <c r="N15" t="s">
        <v>132</v>
      </c>
      <c r="P15" t="s">
        <v>145</v>
      </c>
      <c r="Q15" t="s">
        <v>181</v>
      </c>
      <c r="U15">
        <f>HYPERLINK("https://www.cookcountyassessoril.gov/pin/25214230050000", "25-21-423-005-0000")</f>
        <v>0</v>
      </c>
      <c r="V15" t="s">
        <v>204</v>
      </c>
    </row>
    <row r="16" spans="1:23">
      <c r="A16">
        <v>15</v>
      </c>
      <c r="B16" t="s">
        <v>36</v>
      </c>
      <c r="C16" t="s">
        <v>72</v>
      </c>
      <c r="D16" t="s">
        <v>94</v>
      </c>
      <c r="I16">
        <v>2000</v>
      </c>
      <c r="K16" t="s">
        <v>110</v>
      </c>
      <c r="L16">
        <f>HYPERLINK("https://maps.cookcountyil.gov/cookviewer/?search=11143 S EMERALD AVE", "11143 S EMERALD AVE")</f>
        <v>0</v>
      </c>
      <c r="N16" t="s">
        <v>132</v>
      </c>
      <c r="P16" t="s">
        <v>146</v>
      </c>
      <c r="Q16" t="s">
        <v>182</v>
      </c>
      <c r="U16">
        <f>HYPERLINK("https://www.cookcountyassessoril.gov/pin/25211010100000", "25-21-101-010-0000")</f>
        <v>0</v>
      </c>
      <c r="V16" t="s">
        <v>204</v>
      </c>
    </row>
    <row r="17" spans="1:22">
      <c r="A17">
        <v>16</v>
      </c>
      <c r="B17" t="s">
        <v>37</v>
      </c>
      <c r="C17" t="s">
        <v>73</v>
      </c>
      <c r="D17" t="s">
        <v>94</v>
      </c>
      <c r="I17">
        <v>5000</v>
      </c>
      <c r="K17" t="s">
        <v>111</v>
      </c>
      <c r="L17">
        <f>HYPERLINK("https://maps.cookcountyil.gov/cookviewer/?search=4410 W 77TH PL", "4410 W 77TH PL")</f>
        <v>0</v>
      </c>
      <c r="N17" t="s">
        <v>132</v>
      </c>
      <c r="P17" t="s">
        <v>147</v>
      </c>
      <c r="Q17" t="s">
        <v>176</v>
      </c>
      <c r="U17">
        <f>HYPERLINK("https://www.cookcountyassessoril.gov/pin/19273180420000", "19-27-318-042-0000")</f>
        <v>0</v>
      </c>
      <c r="V17" t="s">
        <v>204</v>
      </c>
    </row>
    <row r="18" spans="1:22">
      <c r="A18">
        <v>17</v>
      </c>
      <c r="B18" t="s">
        <v>38</v>
      </c>
      <c r="C18" t="s">
        <v>74</v>
      </c>
      <c r="D18" t="s">
        <v>94</v>
      </c>
      <c r="I18">
        <v>5700</v>
      </c>
      <c r="K18" t="s">
        <v>112</v>
      </c>
      <c r="L18">
        <f>HYPERLINK("https://maps.cookcountyil.gov/cookviewer/?search=2723 W FARWELL AVE", "2723 W FARWELL AVE")</f>
        <v>0</v>
      </c>
      <c r="N18" t="s">
        <v>132</v>
      </c>
      <c r="P18" t="s">
        <v>148</v>
      </c>
      <c r="Q18" t="s">
        <v>173</v>
      </c>
      <c r="U18">
        <f>HYPERLINK("https://www.cookcountyassessoril.gov/pin/10362270140000", "10-36-227-014-0000")</f>
        <v>0</v>
      </c>
      <c r="V18" t="s">
        <v>204</v>
      </c>
    </row>
    <row r="19" spans="1:22">
      <c r="A19">
        <v>18</v>
      </c>
      <c r="B19" t="s">
        <v>39</v>
      </c>
      <c r="C19" t="s">
        <v>75</v>
      </c>
      <c r="D19" t="s">
        <v>94</v>
      </c>
      <c r="I19">
        <v>100</v>
      </c>
      <c r="K19" t="s">
        <v>113</v>
      </c>
      <c r="L19">
        <f>HYPERLINK("https://maps.cookcountyil.gov/cookviewer/?search=11921 S STATE ST", "11921 S STATE ST")</f>
        <v>0</v>
      </c>
      <c r="N19" t="s">
        <v>132</v>
      </c>
      <c r="P19" t="s">
        <v>149</v>
      </c>
      <c r="Q19" t="s">
        <v>183</v>
      </c>
      <c r="U19">
        <f>HYPERLINK("https://www.cookcountyassessoril.gov/pin/25271000050000", "25-27-100-005-0000")</f>
        <v>0</v>
      </c>
      <c r="V19" t="s">
        <v>204</v>
      </c>
    </row>
    <row r="20" spans="1:22">
      <c r="A20">
        <v>19</v>
      </c>
      <c r="B20" t="s">
        <v>40</v>
      </c>
      <c r="C20" t="s">
        <v>76</v>
      </c>
      <c r="D20" t="s">
        <v>94</v>
      </c>
      <c r="I20">
        <v>40000</v>
      </c>
      <c r="K20" t="s">
        <v>114</v>
      </c>
      <c r="L20">
        <f>HYPERLINK("https://maps.cookcountyil.gov/cookviewer/?search=2215 N LAKEWOOD AVE", "2215 N LAKEWOOD AVE")</f>
        <v>0</v>
      </c>
      <c r="N20" t="s">
        <v>132</v>
      </c>
      <c r="P20" t="s">
        <v>150</v>
      </c>
      <c r="Q20" t="s">
        <v>184</v>
      </c>
      <c r="U20">
        <f>HYPERLINK("https://www.cookcountyassessoril.gov/pin/14321120110000", "14-32-112-011-0000")</f>
        <v>0</v>
      </c>
      <c r="V20" t="s">
        <v>203</v>
      </c>
    </row>
    <row r="21" spans="1:22">
      <c r="A21">
        <v>20</v>
      </c>
      <c r="B21" t="s">
        <v>41</v>
      </c>
      <c r="C21" t="s">
        <v>77</v>
      </c>
      <c r="D21" t="s">
        <v>94</v>
      </c>
      <c r="I21">
        <v>3993</v>
      </c>
      <c r="K21" t="s">
        <v>115</v>
      </c>
      <c r="L21">
        <f>HYPERLINK("https://maps.cookcountyil.gov/cookviewer/?search=4951 W NORTH AVE", "4951 W NORTH AVE")</f>
        <v>0</v>
      </c>
      <c r="N21" t="s">
        <v>132</v>
      </c>
      <c r="P21" t="s">
        <v>151</v>
      </c>
      <c r="Q21" t="s">
        <v>185</v>
      </c>
      <c r="U21">
        <f>HYPERLINK("https://www.cookcountyassessoril.gov/pin/16042040090000", "16-04-204-009-0000")</f>
        <v>0</v>
      </c>
      <c r="V21" t="s">
        <v>204</v>
      </c>
    </row>
    <row r="22" spans="1:22">
      <c r="A22">
        <v>21</v>
      </c>
      <c r="B22" t="s">
        <v>42</v>
      </c>
      <c r="C22" t="s">
        <v>78</v>
      </c>
      <c r="D22" t="s">
        <v>94</v>
      </c>
      <c r="I22">
        <v>5000</v>
      </c>
      <c r="K22" t="s">
        <v>116</v>
      </c>
      <c r="L22">
        <f>HYPERLINK("https://maps.cookcountyil.gov/cookviewer/?search=5509 N NATOMA AVE", "5509 N NATOMA AVE")</f>
        <v>0</v>
      </c>
      <c r="N22" t="s">
        <v>132</v>
      </c>
      <c r="P22" t="s">
        <v>152</v>
      </c>
      <c r="Q22" t="s">
        <v>186</v>
      </c>
      <c r="U22">
        <f>HYPERLINK("https://www.cookcountyassessoril.gov/pin/13072040440000", "13-07-204-044-0000")</f>
        <v>0</v>
      </c>
      <c r="V22" t="s">
        <v>204</v>
      </c>
    </row>
    <row r="23" spans="1:22">
      <c r="A23">
        <v>22</v>
      </c>
      <c r="B23" t="s">
        <v>43</v>
      </c>
      <c r="C23" t="s">
        <v>79</v>
      </c>
      <c r="D23" t="s">
        <v>94</v>
      </c>
      <c r="I23">
        <v>7000</v>
      </c>
      <c r="K23" t="s">
        <v>117</v>
      </c>
      <c r="L23">
        <f>HYPERLINK("https://maps.cookcountyil.gov/cookviewer/?search=8526 S JUSTINE ST", "8526 S JUSTINE ST")</f>
        <v>0</v>
      </c>
      <c r="N23" t="s">
        <v>132</v>
      </c>
      <c r="P23" t="s">
        <v>153</v>
      </c>
      <c r="Q23" t="s">
        <v>187</v>
      </c>
      <c r="U23">
        <f>HYPERLINK("https://www.cookcountyassessoril.gov/pin/20323150290000", "20-32-315-029-0000")</f>
        <v>0</v>
      </c>
      <c r="V23" t="s">
        <v>204</v>
      </c>
    </row>
    <row r="24" spans="1:22">
      <c r="A24">
        <v>23</v>
      </c>
      <c r="B24" t="s">
        <v>44</v>
      </c>
      <c r="C24" t="s">
        <v>80</v>
      </c>
      <c r="D24" t="s">
        <v>94</v>
      </c>
      <c r="I24">
        <v>30000</v>
      </c>
      <c r="K24" t="s">
        <v>118</v>
      </c>
      <c r="L24">
        <f>HYPERLINK("https://maps.cookcountyil.gov/cookviewer/?search=10524 S WABASH AVE", "10524 S WABASH AVE")</f>
        <v>0</v>
      </c>
      <c r="N24" t="s">
        <v>132</v>
      </c>
      <c r="P24" t="s">
        <v>154</v>
      </c>
      <c r="Q24" t="s">
        <v>188</v>
      </c>
      <c r="U24">
        <f>HYPERLINK("https://www.cookcountyassessoril.gov/pin/25151180450000", "25-15-118-045-0000")</f>
        <v>0</v>
      </c>
      <c r="V24" t="s">
        <v>203</v>
      </c>
    </row>
    <row r="25" spans="1:22">
      <c r="A25">
        <v>24</v>
      </c>
      <c r="B25" t="s">
        <v>45</v>
      </c>
      <c r="C25" t="s">
        <v>81</v>
      </c>
      <c r="D25" t="s">
        <v>94</v>
      </c>
      <c r="I25">
        <v>5000</v>
      </c>
      <c r="K25" t="s">
        <v>119</v>
      </c>
      <c r="L25">
        <f>HYPERLINK("https://maps.cookcountyil.gov/cookviewer/?search=10963 S MORGAN ST", "10963 S MORGAN ST")</f>
        <v>0</v>
      </c>
      <c r="N25" t="s">
        <v>132</v>
      </c>
      <c r="P25" t="s">
        <v>155</v>
      </c>
      <c r="Q25" t="s">
        <v>189</v>
      </c>
      <c r="U25">
        <f>HYPERLINK("https://www.cookcountyassessoril.gov/pin/25174200500000", "25-17-420-050-0000")</f>
        <v>0</v>
      </c>
      <c r="V25" t="s">
        <v>204</v>
      </c>
    </row>
    <row r="26" spans="1:22">
      <c r="A26">
        <v>25</v>
      </c>
      <c r="B26" t="s">
        <v>46</v>
      </c>
      <c r="C26" t="s">
        <v>82</v>
      </c>
      <c r="D26" t="s">
        <v>94</v>
      </c>
      <c r="I26">
        <v>13500</v>
      </c>
      <c r="K26" t="s">
        <v>120</v>
      </c>
      <c r="L26">
        <f>HYPERLINK("https://maps.cookcountyil.gov/cookviewer/?search=1459 W VICTORIA ST", "1459 W VICTORIA ST")</f>
        <v>0</v>
      </c>
      <c r="N26" t="s">
        <v>132</v>
      </c>
      <c r="P26" t="s">
        <v>156</v>
      </c>
      <c r="Q26" t="s">
        <v>190</v>
      </c>
      <c r="U26">
        <f>HYPERLINK("https://www.cookcountyassessoril.gov/pin/14053160230000", "14-05-316-023-0000")</f>
        <v>0</v>
      </c>
      <c r="V26" t="s">
        <v>204</v>
      </c>
    </row>
    <row r="27" spans="1:22">
      <c r="A27">
        <v>26</v>
      </c>
      <c r="B27" t="s">
        <v>47</v>
      </c>
      <c r="C27" t="s">
        <v>83</v>
      </c>
      <c r="D27" t="s">
        <v>94</v>
      </c>
      <c r="I27">
        <v>12086</v>
      </c>
      <c r="K27" t="s">
        <v>121</v>
      </c>
      <c r="L27">
        <f>HYPERLINK("https://maps.cookcountyil.gov/cookviewer/?search=4535 N SACRAMENTO AVE", "4535 N SACRAMENTO AVE")</f>
        <v>0</v>
      </c>
      <c r="N27" t="s">
        <v>132</v>
      </c>
      <c r="P27" t="s">
        <v>157</v>
      </c>
      <c r="Q27" t="s">
        <v>191</v>
      </c>
      <c r="U27">
        <f>HYPERLINK("https://www.cookcountyassessoril.gov/pin/13131210100000", "13-13-121-010-0000")</f>
        <v>0</v>
      </c>
      <c r="V27" t="s">
        <v>204</v>
      </c>
    </row>
    <row r="28" spans="1:22">
      <c r="A28">
        <v>27</v>
      </c>
      <c r="B28" t="s">
        <v>48</v>
      </c>
      <c r="C28" t="s">
        <v>84</v>
      </c>
      <c r="D28" t="s">
        <v>94</v>
      </c>
      <c r="I28">
        <v>7872</v>
      </c>
      <c r="K28" t="s">
        <v>122</v>
      </c>
      <c r="L28">
        <f>HYPERLINK("https://maps.cookcountyil.gov/cookviewer/?search=150 N WACKER DR", "150 N WACKER DR")</f>
        <v>0</v>
      </c>
      <c r="N28" t="s">
        <v>132</v>
      </c>
      <c r="P28" t="s">
        <v>158</v>
      </c>
      <c r="Q28" t="s">
        <v>192</v>
      </c>
      <c r="U28">
        <f>HYPERLINK("https://www.cookcountyassessoril.gov/pin/17094270040000", "17-09-427-004-0000")</f>
        <v>0</v>
      </c>
      <c r="V28" t="s">
        <v>204</v>
      </c>
    </row>
    <row r="29" spans="1:22">
      <c r="A29">
        <v>28</v>
      </c>
      <c r="B29" t="s">
        <v>49</v>
      </c>
      <c r="C29" t="s">
        <v>85</v>
      </c>
      <c r="D29" t="s">
        <v>94</v>
      </c>
      <c r="I29">
        <v>100</v>
      </c>
      <c r="K29" t="s">
        <v>123</v>
      </c>
      <c r="L29">
        <f>HYPERLINK("https://maps.cookcountyil.gov/cookviewer/?search=31 W 110TH ST", "31 W 110TH ST")</f>
        <v>0</v>
      </c>
      <c r="N29" t="s">
        <v>132</v>
      </c>
      <c r="P29" t="s">
        <v>159</v>
      </c>
      <c r="Q29" t="s">
        <v>193</v>
      </c>
      <c r="U29">
        <f>HYPERLINK("https://www.cookcountyassessoril.gov/pin/25164260100000", "25-16-426-010-0000")</f>
        <v>0</v>
      </c>
      <c r="V29" t="s">
        <v>204</v>
      </c>
    </row>
    <row r="30" spans="1:22">
      <c r="A30">
        <v>29</v>
      </c>
      <c r="B30" t="s">
        <v>50</v>
      </c>
      <c r="C30" t="s">
        <v>86</v>
      </c>
      <c r="D30" t="s">
        <v>96</v>
      </c>
      <c r="I30">
        <v>1500</v>
      </c>
      <c r="K30" t="s">
        <v>124</v>
      </c>
      <c r="L30">
        <f>HYPERLINK("https://maps.cookcountyil.gov/cookviewer/?search=5130 N KEELER AVE", "5130 N KEELER AVE")</f>
        <v>0</v>
      </c>
      <c r="N30" t="s">
        <v>132</v>
      </c>
      <c r="P30" t="s">
        <v>160</v>
      </c>
      <c r="Q30" t="s">
        <v>194</v>
      </c>
      <c r="U30">
        <f>HYPERLINK("https://www.cookcountyassessoril.gov/pin/13104030310000", "13-10-403-031-0000")</f>
        <v>0</v>
      </c>
      <c r="V30" t="s">
        <v>204</v>
      </c>
    </row>
    <row r="31" spans="1:22">
      <c r="A31">
        <v>30</v>
      </c>
      <c r="B31" t="s">
        <v>51</v>
      </c>
      <c r="C31" t="s">
        <v>87</v>
      </c>
      <c r="D31" t="s">
        <v>94</v>
      </c>
      <c r="I31">
        <v>5000</v>
      </c>
      <c r="K31" t="s">
        <v>125</v>
      </c>
      <c r="L31">
        <f>HYPERLINK("https://maps.cookcountyil.gov/cookviewer/?search=6320 S FAIRFIELD AVE", "6320 S FAIRFIELD AVE")</f>
        <v>0</v>
      </c>
      <c r="N31" t="s">
        <v>132</v>
      </c>
      <c r="P31" t="s">
        <v>161</v>
      </c>
      <c r="Q31" t="s">
        <v>195</v>
      </c>
      <c r="U31">
        <f>HYPERLINK("https://www.cookcountyassessoril.gov/pin/19242000190000", "19-24-200-019-0000")</f>
        <v>0</v>
      </c>
      <c r="V31" t="s">
        <v>204</v>
      </c>
    </row>
    <row r="32" spans="1:22">
      <c r="A32">
        <v>31</v>
      </c>
      <c r="B32" t="s">
        <v>52</v>
      </c>
      <c r="C32" t="s">
        <v>88</v>
      </c>
      <c r="D32" t="s">
        <v>94</v>
      </c>
      <c r="I32">
        <v>7000</v>
      </c>
      <c r="K32" t="s">
        <v>126</v>
      </c>
      <c r="L32">
        <f>HYPERLINK("https://maps.cookcountyil.gov/cookviewer/?search=1729 N NARRAGANSETT AVE", "1729 N NARRAGANSETT AVE")</f>
        <v>0</v>
      </c>
      <c r="N32" t="s">
        <v>132</v>
      </c>
      <c r="P32" t="s">
        <v>162</v>
      </c>
      <c r="Q32" t="s">
        <v>196</v>
      </c>
      <c r="U32">
        <f>HYPERLINK("https://www.cookcountyassessoril.gov/pin/13323080040000", "13-32-308-004-0000")</f>
        <v>0</v>
      </c>
      <c r="V32" t="s">
        <v>204</v>
      </c>
    </row>
    <row r="33" spans="1:22">
      <c r="A33">
        <v>32</v>
      </c>
      <c r="B33" t="s">
        <v>53</v>
      </c>
      <c r="C33" t="s">
        <v>89</v>
      </c>
      <c r="D33" t="s">
        <v>94</v>
      </c>
      <c r="I33">
        <v>2946</v>
      </c>
      <c r="K33" t="s">
        <v>127</v>
      </c>
      <c r="L33">
        <f>HYPERLINK("https://maps.cookcountyil.gov/cookviewer/?search=2639 W JARLATH ST", "2639 W JARLATH ST")</f>
        <v>0</v>
      </c>
      <c r="N33" t="s">
        <v>132</v>
      </c>
      <c r="P33" t="s">
        <v>163</v>
      </c>
      <c r="Q33" t="s">
        <v>197</v>
      </c>
      <c r="U33">
        <f>HYPERLINK("https://www.cookcountyassessoril.gov/pin/10254260060000", "10-25-426-006-0000")</f>
        <v>0</v>
      </c>
      <c r="V33" t="s">
        <v>204</v>
      </c>
    </row>
    <row r="34" spans="1:22">
      <c r="A34">
        <v>33</v>
      </c>
      <c r="B34" t="s">
        <v>54</v>
      </c>
      <c r="C34" t="s">
        <v>90</v>
      </c>
      <c r="D34" t="s">
        <v>94</v>
      </c>
      <c r="I34">
        <v>28101</v>
      </c>
      <c r="K34" t="s">
        <v>128</v>
      </c>
      <c r="L34">
        <f>HYPERLINK("https://maps.cookcountyil.gov/cookviewer/?search=3440 S DEARBORN ST", "3440 S DEARBORN ST")</f>
        <v>0</v>
      </c>
      <c r="N34" t="s">
        <v>132</v>
      </c>
      <c r="P34" t="s">
        <v>164</v>
      </c>
      <c r="Q34" t="s">
        <v>198</v>
      </c>
      <c r="U34">
        <f>HYPERLINK("https://www.cookcountyassessoril.gov/pin/17332230440000", "17-33-223-044-0000"), =HYPERLINK("https://www.cookcountyassessoril.gov/pin/17332230430000", "17-33-223-043-0000")</f>
        <v>0</v>
      </c>
      <c r="V34" t="s">
        <v>204</v>
      </c>
    </row>
    <row r="35" spans="1:22">
      <c r="A35">
        <v>34</v>
      </c>
      <c r="B35" t="s">
        <v>55</v>
      </c>
      <c r="C35" t="s">
        <v>91</v>
      </c>
      <c r="D35" t="s">
        <v>94</v>
      </c>
      <c r="I35">
        <v>400</v>
      </c>
      <c r="K35" t="s">
        <v>129</v>
      </c>
      <c r="L35">
        <f>HYPERLINK("https://maps.cookcountyil.gov/cookviewer/?search=3922 N OAKLEY AVE", "3922 N OAKLEY AVE")</f>
        <v>0</v>
      </c>
      <c r="N35" t="s">
        <v>132</v>
      </c>
      <c r="P35" t="s">
        <v>165</v>
      </c>
      <c r="Q35" t="s">
        <v>199</v>
      </c>
      <c r="U35">
        <f>HYPERLINK("https://www.cookcountyassessoril.gov/pin/14191010300000", "14-19-101-030-0000")</f>
        <v>0</v>
      </c>
      <c r="V35" t="s">
        <v>204</v>
      </c>
    </row>
    <row r="36" spans="1:22">
      <c r="A36">
        <v>35</v>
      </c>
      <c r="B36" t="s">
        <v>56</v>
      </c>
      <c r="C36" t="s">
        <v>92</v>
      </c>
      <c r="D36" t="s">
        <v>94</v>
      </c>
      <c r="I36">
        <v>19500</v>
      </c>
      <c r="K36" t="s">
        <v>130</v>
      </c>
      <c r="L36">
        <f>HYPERLINK("https://maps.cookcountyil.gov/cookviewer/?search=6565 N LAKEWOOD AVE", "6565 N LAKEWOOD AVE")</f>
        <v>0</v>
      </c>
      <c r="N36" t="s">
        <v>132</v>
      </c>
      <c r="P36" t="s">
        <v>166</v>
      </c>
      <c r="Q36" t="s">
        <v>200</v>
      </c>
      <c r="U36">
        <f>HYPERLINK("https://www.cookcountyassessoril.gov/pin/11323190010000", "11-32-319-001-0000")</f>
        <v>0</v>
      </c>
      <c r="V36" t="s">
        <v>204</v>
      </c>
    </row>
    <row r="37" spans="1:22">
      <c r="A37">
        <v>36</v>
      </c>
      <c r="B37" t="s">
        <v>57</v>
      </c>
      <c r="C37" t="s">
        <v>93</v>
      </c>
      <c r="D37" t="s">
        <v>96</v>
      </c>
      <c r="I37">
        <v>1260</v>
      </c>
      <c r="K37" t="s">
        <v>131</v>
      </c>
      <c r="L37">
        <f>HYPERLINK("https://maps.cookcountyil.gov/cookviewer/?search=3743 W PALMER ST", "3743 W PALMER ST")</f>
        <v>0</v>
      </c>
      <c r="N37" t="s">
        <v>132</v>
      </c>
      <c r="P37" t="s">
        <v>167</v>
      </c>
      <c r="Q37" t="s">
        <v>201</v>
      </c>
      <c r="U37">
        <f>HYPERLINK("https://www.cookcountyassessoril.gov/pin/13351190070000", "13-35-119-007-0000")</f>
        <v>0</v>
      </c>
      <c r="V37" t="s">
        <v>204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2025-09-09T20:01:41Z</dcterms:created>
  <dcterms:modified xsi:type="dcterms:W3CDTF">2025-09-09T20:01:41Z</dcterms:modified>
</cp:coreProperties>
</file>