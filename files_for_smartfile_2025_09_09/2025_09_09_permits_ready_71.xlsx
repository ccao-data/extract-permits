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<sst xmlns="http://schemas.openxmlformats.org/spreadsheetml/2006/main" count="1659" uniqueCount="970">
  <si>
    <t># [LLINE]</t>
  </si>
  <si>
    <t>PIN* [PARID]</t>
  </si>
  <si>
    <t>Local Permit No.* [USER28]</t>
  </si>
  <si>
    <t>Issue Date* [PERMDT]</t>
  </si>
  <si>
    <t>Desc 1* [DESC1]</t>
  </si>
  <si>
    <t>Desc 2 Code 1 [USER6]</t>
  </si>
  <si>
    <t>Desc 2 Code 2 [USER7]</t>
  </si>
  <si>
    <t>Desc 2 Code 3 [USER8]</t>
  </si>
  <si>
    <t>Amount* [AMOUNT]</t>
  </si>
  <si>
    <t>Assessable [IS_ASSESS]</t>
  </si>
  <si>
    <t>Applicant Street Address* [ADDR1]</t>
  </si>
  <si>
    <t>Property Address</t>
  </si>
  <si>
    <t>Applicant Address 2 [ADDR2]</t>
  </si>
  <si>
    <t>Applicant City, State, Zip* [ADDR3]</t>
  </si>
  <si>
    <t>Contact Phone* [PHONE]</t>
  </si>
  <si>
    <t>Applicant* [USER21]</t>
  </si>
  <si>
    <t>Notes [NOTE1]</t>
  </si>
  <si>
    <t>Occupy Dt [UDATE1]</t>
  </si>
  <si>
    <t>Submit Dt* [CERTDATE]</t>
  </si>
  <si>
    <t>Est Comp Dt [UDATE2]</t>
  </si>
  <si>
    <t>Suggested PINs</t>
  </si>
  <si>
    <t>Likely_Assessable</t>
  </si>
  <si>
    <t>user21</t>
  </si>
  <si>
    <t>20323070290000</t>
  </si>
  <si>
    <t>17094550090000</t>
  </si>
  <si>
    <t>20072020010000</t>
  </si>
  <si>
    <t>26171040210000</t>
  </si>
  <si>
    <t>16151040160000</t>
  </si>
  <si>
    <t>19202080470000</t>
  </si>
  <si>
    <t>13214070740000</t>
  </si>
  <si>
    <t>19362160330000</t>
  </si>
  <si>
    <t>17094560010000</t>
  </si>
  <si>
    <t>19132240390000</t>
  </si>
  <si>
    <t>13333150160000</t>
  </si>
  <si>
    <t>20342230170000</t>
  </si>
  <si>
    <t>20324020190000</t>
  </si>
  <si>
    <t>13253160320000</t>
  </si>
  <si>
    <t>20171130030000</t>
  </si>
  <si>
    <t>13021080100000</t>
  </si>
  <si>
    <t>17032070220000</t>
  </si>
  <si>
    <t>13194220260000</t>
  </si>
  <si>
    <t>13161080190000</t>
  </si>
  <si>
    <t>13353080220000</t>
  </si>
  <si>
    <t>25211080310000</t>
  </si>
  <si>
    <t>17041300410000</t>
  </si>
  <si>
    <t>20342210250000</t>
  </si>
  <si>
    <t>13264290040000</t>
  </si>
  <si>
    <t>13124130100000</t>
  </si>
  <si>
    <t>16123110300000</t>
  </si>
  <si>
    <t>13162080330000</t>
  </si>
  <si>
    <t>14163010410000</t>
  </si>
  <si>
    <t>14061070320000</t>
  </si>
  <si>
    <t>11311020270000</t>
  </si>
  <si>
    <t>21313140020000</t>
  </si>
  <si>
    <t>13211230190000</t>
  </si>
  <si>
    <t>16234230050000</t>
  </si>
  <si>
    <t>13041090290000</t>
  </si>
  <si>
    <t>19171150450000</t>
  </si>
  <si>
    <t>20171080390000</t>
  </si>
  <si>
    <t>20234120710000</t>
  </si>
  <si>
    <t>17094420010000</t>
  </si>
  <si>
    <t>25084180190000</t>
  </si>
  <si>
    <t>17084060130000</t>
  </si>
  <si>
    <t>24132170030000</t>
  </si>
  <si>
    <t>25132030460000</t>
  </si>
  <si>
    <t>14202220100000</t>
  </si>
  <si>
    <t>13331110290000</t>
  </si>
  <si>
    <t>16104090190000</t>
  </si>
  <si>
    <t>13253050100000</t>
  </si>
  <si>
    <t>13323140310000</t>
  </si>
  <si>
    <t>25093270390000</t>
  </si>
  <si>
    <t>14294100090000</t>
  </si>
  <si>
    <t>13233020010000</t>
  </si>
  <si>
    <t>19083090710000</t>
  </si>
  <si>
    <t>17164040340000</t>
  </si>
  <si>
    <t>25281230180000</t>
  </si>
  <si>
    <t>13273140040000</t>
  </si>
  <si>
    <t>14324090320000</t>
  </si>
  <si>
    <t>14332100030000</t>
  </si>
  <si>
    <t>20072050390000</t>
  </si>
  <si>
    <t>20083160370000</t>
  </si>
  <si>
    <t>17031140030000</t>
  </si>
  <si>
    <t>26063050540000</t>
  </si>
  <si>
    <t>13061030500000</t>
  </si>
  <si>
    <t>20262210330000</t>
  </si>
  <si>
    <t>13092170040000</t>
  </si>
  <si>
    <t>13363030210000</t>
  </si>
  <si>
    <t>16052230330000</t>
  </si>
  <si>
    <t>17182500150000</t>
  </si>
  <si>
    <t>19251120190000</t>
  </si>
  <si>
    <t>13031190390000</t>
  </si>
  <si>
    <t>26182130770000</t>
  </si>
  <si>
    <t>12242200480000</t>
  </si>
  <si>
    <t>13344150190000</t>
  </si>
  <si>
    <t>17313070060000</t>
  </si>
  <si>
    <t>13353050180000</t>
  </si>
  <si>
    <t>26063010060000</t>
  </si>
  <si>
    <t>25212050120000</t>
  </si>
  <si>
    <t>14081090570000</t>
  </si>
  <si>
    <t>13083180260000</t>
  </si>
  <si>
    <t>25223100330000</t>
  </si>
  <si>
    <t>19184330310000</t>
  </si>
  <si>
    <t>17223220030000</t>
  </si>
  <si>
    <t>19244160190000</t>
  </si>
  <si>
    <t>21304120240000</t>
  </si>
  <si>
    <t>19092160290000</t>
  </si>
  <si>
    <t>13274140030000</t>
  </si>
  <si>
    <t>20342200170000</t>
  </si>
  <si>
    <t>20231210070000</t>
  </si>
  <si>
    <t>17102020620000</t>
  </si>
  <si>
    <t>20034220200000</t>
  </si>
  <si>
    <t>17171030070000</t>
  </si>
  <si>
    <t>14312110500000</t>
  </si>
  <si>
    <t>13072310340000</t>
  </si>
  <si>
    <t>14184000210000</t>
  </si>
  <si>
    <t>17343230470000</t>
  </si>
  <si>
    <t>20094230850000</t>
  </si>
  <si>
    <t>25222270110000</t>
  </si>
  <si>
    <t>13103040330000</t>
  </si>
  <si>
    <t>11304240010000</t>
  </si>
  <si>
    <t>20361070200000</t>
  </si>
  <si>
    <t>25073270110000</t>
  </si>
  <si>
    <t>13053230290000</t>
  </si>
  <si>
    <t>16272300200000</t>
  </si>
  <si>
    <t>13363210100000</t>
  </si>
  <si>
    <t>20113140120000</t>
  </si>
  <si>
    <t>24134150110000</t>
  </si>
  <si>
    <t>26063100250000</t>
  </si>
  <si>
    <t>25222220110000</t>
  </si>
  <si>
    <t>13164100280000</t>
  </si>
  <si>
    <t>14051080250000</t>
  </si>
  <si>
    <t>20224120080000</t>
  </si>
  <si>
    <t>17193130270000</t>
  </si>
  <si>
    <t>14332060160000</t>
  </si>
  <si>
    <t>13352100190000</t>
  </si>
  <si>
    <t>16153180010000</t>
  </si>
  <si>
    <t>20102110370000</t>
  </si>
  <si>
    <t>25203140070000</t>
  </si>
  <si>
    <t>20302060410000</t>
  </si>
  <si>
    <t>20322090020000</t>
  </si>
  <si>
    <t>25033010220000</t>
  </si>
  <si>
    <t>20184090480000</t>
  </si>
  <si>
    <t>17042070870000</t>
  </si>
  <si>
    <t>25222080380000</t>
  </si>
  <si>
    <t>14083150520000</t>
  </si>
  <si>
    <t>17032280240000</t>
  </si>
  <si>
    <t>20083150050000</t>
  </si>
  <si>
    <t>17191150020000</t>
  </si>
  <si>
    <t>20354240490000</t>
  </si>
  <si>
    <t>16024270420000</t>
  </si>
  <si>
    <t>25041180100000</t>
  </si>
  <si>
    <t>17103180580000</t>
  </si>
  <si>
    <t>11323280140000</t>
  </si>
  <si>
    <t>13172250050000</t>
  </si>
  <si>
    <t>20171200120000</t>
  </si>
  <si>
    <t>17294210010000</t>
  </si>
  <si>
    <t>14172050570000</t>
  </si>
  <si>
    <t>25201040080000</t>
  </si>
  <si>
    <t>17282330800000</t>
  </si>
  <si>
    <t>19133180240000</t>
  </si>
  <si>
    <t>10313160110000</t>
  </si>
  <si>
    <t>25282090240000</t>
  </si>
  <si>
    <t>13352130260000</t>
  </si>
  <si>
    <t>21301220070000</t>
  </si>
  <si>
    <t>17293090110000</t>
  </si>
  <si>
    <t>13093320080000</t>
  </si>
  <si>
    <t>25191040100000</t>
  </si>
  <si>
    <t>25172120280000</t>
  </si>
  <si>
    <t>11314080180000</t>
  </si>
  <si>
    <t>11323120170000</t>
  </si>
  <si>
    <t>13133160140000</t>
  </si>
  <si>
    <t>13051040500000</t>
  </si>
  <si>
    <t>25083000390000</t>
  </si>
  <si>
    <t>19144030080000</t>
  </si>
  <si>
    <t>11304120030000</t>
  </si>
  <si>
    <t>19361040310000</t>
  </si>
  <si>
    <t>19262160310000</t>
  </si>
  <si>
    <t>13124090070000</t>
  </si>
  <si>
    <t>24143230220000</t>
  </si>
  <si>
    <t>13352180230000</t>
  </si>
  <si>
    <t>25021160500000</t>
  </si>
  <si>
    <t>17063020080000</t>
  </si>
  <si>
    <t>09362020020000</t>
  </si>
  <si>
    <t>26174060020000</t>
  </si>
  <si>
    <t>16234170410000</t>
  </si>
  <si>
    <t>14192170110000</t>
  </si>
  <si>
    <t>19182240660000</t>
  </si>
  <si>
    <t>20332090340000</t>
  </si>
  <si>
    <t>20254130040000</t>
  </si>
  <si>
    <t>17284020330000</t>
  </si>
  <si>
    <t>14204170430000</t>
  </si>
  <si>
    <t>13253160220000</t>
  </si>
  <si>
    <t>20023160230000</t>
  </si>
  <si>
    <t>20304160140000</t>
  </si>
  <si>
    <t>19352140290000</t>
  </si>
  <si>
    <t>17161030150000</t>
  </si>
  <si>
    <t>13124140220000</t>
  </si>
  <si>
    <t>13124140320000</t>
  </si>
  <si>
    <t>25111230330000</t>
  </si>
  <si>
    <t>25214230040000</t>
  </si>
  <si>
    <t>16231160160000</t>
  </si>
  <si>
    <t>25172140700000</t>
  </si>
  <si>
    <t>12081000060000</t>
  </si>
  <si>
    <t>13083180640000</t>
  </si>
  <si>
    <t>B200437037</t>
  </si>
  <si>
    <t>B200437049</t>
  </si>
  <si>
    <t>B200437056</t>
  </si>
  <si>
    <t>B200437057</t>
  </si>
  <si>
    <t>B200437059</t>
  </si>
  <si>
    <t>B200437063</t>
  </si>
  <si>
    <t>B200437064</t>
  </si>
  <si>
    <t>B200437069</t>
  </si>
  <si>
    <t>B200437072</t>
  </si>
  <si>
    <t>B200437080</t>
  </si>
  <si>
    <t>B200437081</t>
  </si>
  <si>
    <t>B200437083</t>
  </si>
  <si>
    <t>B200437087</t>
  </si>
  <si>
    <t>B200437090</t>
  </si>
  <si>
    <t>B200437094</t>
  </si>
  <si>
    <t>B200437097</t>
  </si>
  <si>
    <t>B200437108</t>
  </si>
  <si>
    <t>B200437111</t>
  </si>
  <si>
    <t>B200437115</t>
  </si>
  <si>
    <t>B200437117</t>
  </si>
  <si>
    <t>B200437120</t>
  </si>
  <si>
    <t>B200437123</t>
  </si>
  <si>
    <t>B200437127</t>
  </si>
  <si>
    <t>B200437129</t>
  </si>
  <si>
    <t>B200437130</t>
  </si>
  <si>
    <t>B200437136</t>
  </si>
  <si>
    <t>B200437144</t>
  </si>
  <si>
    <t>B200437146</t>
  </si>
  <si>
    <t>B200437147</t>
  </si>
  <si>
    <t>B200437148</t>
  </si>
  <si>
    <t>B200437150</t>
  </si>
  <si>
    <t>B200437151</t>
  </si>
  <si>
    <t>B200437157</t>
  </si>
  <si>
    <t>B200437161</t>
  </si>
  <si>
    <t>B200437163</t>
  </si>
  <si>
    <t>B200437166</t>
  </si>
  <si>
    <t>B200437168</t>
  </si>
  <si>
    <t>B200437170</t>
  </si>
  <si>
    <t>B200437172</t>
  </si>
  <si>
    <t>B200437176</t>
  </si>
  <si>
    <t>B200437179</t>
  </si>
  <si>
    <t>B200437180</t>
  </si>
  <si>
    <t>B200437187</t>
  </si>
  <si>
    <t>B200437189</t>
  </si>
  <si>
    <t>B200437190</t>
  </si>
  <si>
    <t>B200437192</t>
  </si>
  <si>
    <t>B200437205</t>
  </si>
  <si>
    <t>B200437206</t>
  </si>
  <si>
    <t>B200437207</t>
  </si>
  <si>
    <t>B200437211</t>
  </si>
  <si>
    <t>B200437220</t>
  </si>
  <si>
    <t>B200437221</t>
  </si>
  <si>
    <t>B200437224</t>
  </si>
  <si>
    <t>B200437225</t>
  </si>
  <si>
    <t>B200437226</t>
  </si>
  <si>
    <t>B200437227</t>
  </si>
  <si>
    <t>B200437228</t>
  </si>
  <si>
    <t>B200437229</t>
  </si>
  <si>
    <t>B200437231</t>
  </si>
  <si>
    <t>B200437236</t>
  </si>
  <si>
    <t>B200437238</t>
  </si>
  <si>
    <t>B200437240</t>
  </si>
  <si>
    <t>B200437251</t>
  </si>
  <si>
    <t>B200437258</t>
  </si>
  <si>
    <t>B200437263</t>
  </si>
  <si>
    <t>B200437264</t>
  </si>
  <si>
    <t>B200437268</t>
  </si>
  <si>
    <t>B200437275</t>
  </si>
  <si>
    <t>B200437278</t>
  </si>
  <si>
    <t>B200437279</t>
  </si>
  <si>
    <t>B200437280</t>
  </si>
  <si>
    <t>B200437281</t>
  </si>
  <si>
    <t>B200437282</t>
  </si>
  <si>
    <t>B200437283</t>
  </si>
  <si>
    <t>B200437284</t>
  </si>
  <si>
    <t>B200437286</t>
  </si>
  <si>
    <t>B200437287</t>
  </si>
  <si>
    <t>B200437296</t>
  </si>
  <si>
    <t>B200437302</t>
  </si>
  <si>
    <t>B200437304</t>
  </si>
  <si>
    <t>B200437305</t>
  </si>
  <si>
    <t>B200437308</t>
  </si>
  <si>
    <t>B200437317</t>
  </si>
  <si>
    <t>B200437319</t>
  </si>
  <si>
    <t>B200437320</t>
  </si>
  <si>
    <t>B200437323</t>
  </si>
  <si>
    <t>B200437324</t>
  </si>
  <si>
    <t>B200437330</t>
  </si>
  <si>
    <t>B200437332</t>
  </si>
  <si>
    <t>B200437334</t>
  </si>
  <si>
    <t>B200437335</t>
  </si>
  <si>
    <t>B200437336</t>
  </si>
  <si>
    <t>B200437344</t>
  </si>
  <si>
    <t>B200437352</t>
  </si>
  <si>
    <t>B200437354</t>
  </si>
  <si>
    <t>B200437359</t>
  </si>
  <si>
    <t>B200437370</t>
  </si>
  <si>
    <t>B200437376</t>
  </si>
  <si>
    <t>B200437378</t>
  </si>
  <si>
    <t>B200437379</t>
  </si>
  <si>
    <t>B200437382</t>
  </si>
  <si>
    <t>B200437383</t>
  </si>
  <si>
    <t>B200437391</t>
  </si>
  <si>
    <t>B200437395</t>
  </si>
  <si>
    <t>B200437403</t>
  </si>
  <si>
    <t>B200437424</t>
  </si>
  <si>
    <t>B200437428</t>
  </si>
  <si>
    <t>B200437441</t>
  </si>
  <si>
    <t>B200437443</t>
  </si>
  <si>
    <t>B200437448</t>
  </si>
  <si>
    <t>B200437450</t>
  </si>
  <si>
    <t>B200437453</t>
  </si>
  <si>
    <t>B200437465</t>
  </si>
  <si>
    <t>B200437480</t>
  </si>
  <si>
    <t>B200437486</t>
  </si>
  <si>
    <t>B200437487</t>
  </si>
  <si>
    <t>B200437488</t>
  </si>
  <si>
    <t>B200437493</t>
  </si>
  <si>
    <t>B200437494</t>
  </si>
  <si>
    <t>B200437497</t>
  </si>
  <si>
    <t>B200437498</t>
  </si>
  <si>
    <t>B200437503</t>
  </si>
  <si>
    <t>B200437507</t>
  </si>
  <si>
    <t>B200437508</t>
  </si>
  <si>
    <t>B200437509</t>
  </si>
  <si>
    <t>B200437513</t>
  </si>
  <si>
    <t>B200437518</t>
  </si>
  <si>
    <t>B200437524</t>
  </si>
  <si>
    <t>B200437525</t>
  </si>
  <si>
    <t>B200437527</t>
  </si>
  <si>
    <t>B200437528</t>
  </si>
  <si>
    <t>B200437529</t>
  </si>
  <si>
    <t>B200437534</t>
  </si>
  <si>
    <t>B200437538</t>
  </si>
  <si>
    <t>B200437539</t>
  </si>
  <si>
    <t>B200437541</t>
  </si>
  <si>
    <t>B200437544</t>
  </si>
  <si>
    <t>B200437546</t>
  </si>
  <si>
    <t>B200437547</t>
  </si>
  <si>
    <t>B200437548</t>
  </si>
  <si>
    <t>B200437550</t>
  </si>
  <si>
    <t>B200437552</t>
  </si>
  <si>
    <t>B200437553</t>
  </si>
  <si>
    <t>B200437554</t>
  </si>
  <si>
    <t>B200437555</t>
  </si>
  <si>
    <t>B200437557</t>
  </si>
  <si>
    <t>B200437558</t>
  </si>
  <si>
    <t>B200437562</t>
  </si>
  <si>
    <t>B200437566</t>
  </si>
  <si>
    <t>B200437570</t>
  </si>
  <si>
    <t>B200437571</t>
  </si>
  <si>
    <t>B200437574</t>
  </si>
  <si>
    <t>B200437576</t>
  </si>
  <si>
    <t>B200437577</t>
  </si>
  <si>
    <t>B200437578</t>
  </si>
  <si>
    <t>B200437581</t>
  </si>
  <si>
    <t>B200437592</t>
  </si>
  <si>
    <t>B200437595</t>
  </si>
  <si>
    <t>B200437596</t>
  </si>
  <si>
    <t>B200437600</t>
  </si>
  <si>
    <t>B200437608</t>
  </si>
  <si>
    <t>B200437616</t>
  </si>
  <si>
    <t>B200437620</t>
  </si>
  <si>
    <t>B200437621</t>
  </si>
  <si>
    <t>B200437624</t>
  </si>
  <si>
    <t>B200437628</t>
  </si>
  <si>
    <t>B200437630</t>
  </si>
  <si>
    <t>B200437632</t>
  </si>
  <si>
    <t>B200437637</t>
  </si>
  <si>
    <t>B200437638</t>
  </si>
  <si>
    <t>B200437639</t>
  </si>
  <si>
    <t>B200437640</t>
  </si>
  <si>
    <t>B200437643</t>
  </si>
  <si>
    <t>B200437644</t>
  </si>
  <si>
    <t>B200437645</t>
  </si>
  <si>
    <t>B200437646</t>
  </si>
  <si>
    <t>B200437658</t>
  </si>
  <si>
    <t>B200437667</t>
  </si>
  <si>
    <t>B200437672</t>
  </si>
  <si>
    <t>B200437679</t>
  </si>
  <si>
    <t>B200437681</t>
  </si>
  <si>
    <t>B200437684</t>
  </si>
  <si>
    <t>B200437685</t>
  </si>
  <si>
    <t>B200437688</t>
  </si>
  <si>
    <t>B200437690</t>
  </si>
  <si>
    <t>B200437693</t>
  </si>
  <si>
    <t>B200437696</t>
  </si>
  <si>
    <t>B200437697</t>
  </si>
  <si>
    <t>B200437699</t>
  </si>
  <si>
    <t>B200437700</t>
  </si>
  <si>
    <t>B200437702</t>
  </si>
  <si>
    <t>B200437704</t>
  </si>
  <si>
    <t>B200437705</t>
  </si>
  <si>
    <t>B200437706</t>
  </si>
  <si>
    <t>B200437708</t>
  </si>
  <si>
    <t>B200437709</t>
  </si>
  <si>
    <t>B200437710</t>
  </si>
  <si>
    <t>B200437711</t>
  </si>
  <si>
    <t>B200437717</t>
  </si>
  <si>
    <t>8/8/2025</t>
  </si>
  <si>
    <t>8/12/2025</t>
  </si>
  <si>
    <t>8/7/2025</t>
  </si>
  <si>
    <t>8/15/2025</t>
  </si>
  <si>
    <t>8/13/2025</t>
  </si>
  <si>
    <t>8/6/2025</t>
  </si>
  <si>
    <t>8/21/2025</t>
  </si>
  <si>
    <t>8/22/2025</t>
  </si>
  <si>
    <t>8/11/2025</t>
  </si>
  <si>
    <t>8/14/2025</t>
  </si>
  <si>
    <t>8/27/2025</t>
  </si>
  <si>
    <t>8/29/2025</t>
  </si>
  <si>
    <t>8/16/2025</t>
  </si>
  <si>
    <t>8/18/2025</t>
  </si>
  <si>
    <t>8/25/2025</t>
  </si>
  <si>
    <t>8/19/2025</t>
  </si>
  <si>
    <t>8/20/2025</t>
  </si>
  <si>
    <t>8/26/2025</t>
  </si>
  <si>
    <t>8/9/2025</t>
  </si>
  <si>
    <t>8/30/2025</t>
  </si>
  <si>
    <t>8/10/2025</t>
  </si>
  <si>
    <t>8/24/2025</t>
  </si>
  <si>
    <t>8/28/2025</t>
  </si>
  <si>
    <t>8426 S JUSTINE ST</t>
  </si>
  <si>
    <t>225 W WASHINGTON ST</t>
  </si>
  <si>
    <t>1855 W 47TH ST</t>
  </si>
  <si>
    <t>10653 S EWING AVE</t>
  </si>
  <si>
    <t>4715 W MONROE ST</t>
  </si>
  <si>
    <t>5900 W 64TH PL</t>
  </si>
  <si>
    <t>3400 N CICERO AVE</t>
  </si>
  <si>
    <t>8116 S FAIRFIELD AVE</t>
  </si>
  <si>
    <t>1 N FRANKLIN ST</t>
  </si>
  <si>
    <t>2534 W 59TH ST</t>
  </si>
  <si>
    <t>1715 N LONG AVE</t>
  </si>
  <si>
    <t>740 E 82ND ST</t>
  </si>
  <si>
    <t>8359 S ABERDEEN ST</t>
  </si>
  <si>
    <t>2506 N RICHMOND ST</t>
  </si>
  <si>
    <t>5607 S ADA ST</t>
  </si>
  <si>
    <t>6225 N HARDING AVE</t>
  </si>
  <si>
    <t>109 E OAK ST</t>
  </si>
  <si>
    <t>3308 N NEENAH AVE</t>
  </si>
  <si>
    <t>5442 W LELAND AVE</t>
  </si>
  <si>
    <t>1848 N SPRINGFIELD AVE</t>
  </si>
  <si>
    <t>11244 S EMERALD AVE</t>
  </si>
  <si>
    <t>1244 N CLYBOURN AVE</t>
  </si>
  <si>
    <t>8130 S LANGLEY AVE</t>
  </si>
  <si>
    <t>3225 W ALTGELD ST</t>
  </si>
  <si>
    <t>4915 N WASHTENAW AVE</t>
  </si>
  <si>
    <t>250 N CALIFORNIA AVE</t>
  </si>
  <si>
    <t>4624 N LEAMINGTON AVE</t>
  </si>
  <si>
    <t>4250 N MARINE DR</t>
  </si>
  <si>
    <t>6201 N OAKLEY AVE</t>
  </si>
  <si>
    <t>2114 W ESTES AVE</t>
  </si>
  <si>
    <t>8405 S MARQUETTE AVE</t>
  </si>
  <si>
    <t>5201 W WARWICK AVE</t>
  </si>
  <si>
    <t>2117 S ST LOUIS AVE</t>
  </si>
  <si>
    <t>6237 N NAVAJO AVE</t>
  </si>
  <si>
    <t>5655 S MCVICKER AVE</t>
  </si>
  <si>
    <t>5644 S JUSTINE ST</t>
  </si>
  <si>
    <t>1350 E 70TH ST</t>
  </si>
  <si>
    <t>101 N WACKER DR</t>
  </si>
  <si>
    <t>10151 S ABERDEEN ST</t>
  </si>
  <si>
    <t>360 N GREEN ST</t>
  </si>
  <si>
    <t>10409 S ARTESIAN AVE</t>
  </si>
  <si>
    <t>10643 S HOXIE AVE</t>
  </si>
  <si>
    <t>836 W BRADLEY PL</t>
  </si>
  <si>
    <t>2134 N LATROBE AVE</t>
  </si>
  <si>
    <t>4238 W MAYPOLE AVE</t>
  </si>
  <si>
    <t>2903 W DIVERSEY AVE</t>
  </si>
  <si>
    <t>1718 N AUSTIN AVE</t>
  </si>
  <si>
    <t>602 W 103RD ST</t>
  </si>
  <si>
    <t>2642 N LINCOLN AVE</t>
  </si>
  <si>
    <t>3757 W ADDISON ST</t>
  </si>
  <si>
    <t>5238 S MOBILE AVE</t>
  </si>
  <si>
    <t>124 W POLK ST</t>
  </si>
  <si>
    <t>12100 S STEWART AVE</t>
  </si>
  <si>
    <t>4551 W WRIGHTWOOD AVE</t>
  </si>
  <si>
    <t>837 W ARMITAGE AVE</t>
  </si>
  <si>
    <t>1746 N STOCKTON DR</t>
  </si>
  <si>
    <t>1710 W 48TH ST</t>
  </si>
  <si>
    <t>1540 W GARFIELD BLVD</t>
  </si>
  <si>
    <t>1212 N LAKE SHORE DR</t>
  </si>
  <si>
    <t>9134 S MARQUETTE AVE</t>
  </si>
  <si>
    <t>6320 N NORDICA AVE</t>
  </si>
  <si>
    <t>7336 S BLACKSTONE AVE</t>
  </si>
  <si>
    <t>5320 N ELSTON AVE</t>
  </si>
  <si>
    <t>3017 W ARMITAGE AVE</t>
  </si>
  <si>
    <t>1310 N CENTRAL AVE</t>
  </si>
  <si>
    <t>1653 W CONGRESS PKWY</t>
  </si>
  <si>
    <t>7255 S SACRAMENTO AVE</t>
  </si>
  <si>
    <t>6100 N KILPATRICK AVE</t>
  </si>
  <si>
    <t>10836 S GREEN BAY AVE</t>
  </si>
  <si>
    <t>3764 N OKETO AVE</t>
  </si>
  <si>
    <t>1854 N PULASKI RD</t>
  </si>
  <si>
    <t>2013 W 35TH ST</t>
  </si>
  <si>
    <t>1927 N LAWNDALE AVE</t>
  </si>
  <si>
    <t>9113 S PHILLIPS AVE</t>
  </si>
  <si>
    <t>223 W 111TH PL</t>
  </si>
  <si>
    <t>1403 W RASCHER AVE</t>
  </si>
  <si>
    <t>4849 N MOBILE AVE</t>
  </si>
  <si>
    <t>138 E 117TH PL</t>
  </si>
  <si>
    <t>5931 S NAGLE AVE</t>
  </si>
  <si>
    <t>350 E CERMAK RD</t>
  </si>
  <si>
    <t>6937 S TALMAN AVE</t>
  </si>
  <si>
    <t>7708 S SOUTH SHORE DR</t>
  </si>
  <si>
    <t>4922 S LEAMINGTON AVE</t>
  </si>
  <si>
    <t>2537 N TRIPP AVE</t>
  </si>
  <si>
    <t>8153 S ST LAWRENCE AVE</t>
  </si>
  <si>
    <t>6619 S MARYLAND AVE</t>
  </si>
  <si>
    <t>680 N LAKE SHORE DR</t>
  </si>
  <si>
    <t>436 E 47TH ST</t>
  </si>
  <si>
    <t>1345 W MADISON ST</t>
  </si>
  <si>
    <t>1344 N ELSTON AVE</t>
  </si>
  <si>
    <t>6516 W FOSTER AVE</t>
  </si>
  <si>
    <t>4338 N WINCHESTER AVE</t>
  </si>
  <si>
    <t>3806 S INDIANA AVE</t>
  </si>
  <si>
    <t>5454 S STATE ST</t>
  </si>
  <si>
    <t>11425 S ST LAWRENCE AVE</t>
  </si>
  <si>
    <t>5120 N KILBOURN AVE</t>
  </si>
  <si>
    <t>7229 N PAULINA ST</t>
  </si>
  <si>
    <t>8026 S CONSTANCE AVE</t>
  </si>
  <si>
    <t>2064 W 103RD ST</t>
  </si>
  <si>
    <t>5728 N MCVICKER AVE</t>
  </si>
  <si>
    <t>2504 S PULASKI RD</t>
  </si>
  <si>
    <t>1723 N RICHMOND ST</t>
  </si>
  <si>
    <t>5341 S MARYLAND AVE</t>
  </si>
  <si>
    <t>10827 S ARTESIAN AVE</t>
  </si>
  <si>
    <t>9228 S COLFAX AVE</t>
  </si>
  <si>
    <t>11325 S LANGLEY AVE</t>
  </si>
  <si>
    <t>4838 W HUTCHINSON ST</t>
  </si>
  <si>
    <t>1506 W THOME AVE</t>
  </si>
  <si>
    <t>6815 S LANGLEY AVE</t>
  </si>
  <si>
    <t>2050 W CULLERTON ST</t>
  </si>
  <si>
    <t>2111 N CLARK ST</t>
  </si>
  <si>
    <t>3522 W LYNDALE ST</t>
  </si>
  <si>
    <t>733 S KENNETH AVE</t>
  </si>
  <si>
    <t>4838 S CHAMPLAIN AVE</t>
  </si>
  <si>
    <t>11719 S ASHLAND AVE</t>
  </si>
  <si>
    <t>7152 S MARSHFIELD AVE</t>
  </si>
  <si>
    <t>8009 S MAY ST</t>
  </si>
  <si>
    <t>9110 S MICHIGAN AVE</t>
  </si>
  <si>
    <t>6058 S WOLCOTT AVE</t>
  </si>
  <si>
    <t>1560 N SANDBURG TER</t>
  </si>
  <si>
    <t>11140 S CHAMPLAIN AVE</t>
  </si>
  <si>
    <t>4880 N CLARK ST</t>
  </si>
  <si>
    <t>247 E CHESTNUT ST</t>
  </si>
  <si>
    <t>5309 S BISHOP ST</t>
  </si>
  <si>
    <t>1340 S DAMEN AVE</t>
  </si>
  <si>
    <t>8668 S KIMBARK AVE</t>
  </si>
  <si>
    <t>825 N CHRISTIANA AVE</t>
  </si>
  <si>
    <t>8927 S UNION AVE</t>
  </si>
  <si>
    <t>340 E RANDOLPH ST</t>
  </si>
  <si>
    <t>6445 N GLENWOOD AVE</t>
  </si>
  <si>
    <t>4445 N AUSTIN AVE</t>
  </si>
  <si>
    <t>5729 S LOOMIS BLVD</t>
  </si>
  <si>
    <t>2973 S LYMAN ST</t>
  </si>
  <si>
    <t>827 W LAWRENCE AVE</t>
  </si>
  <si>
    <t>1339 W 111TH PL</t>
  </si>
  <si>
    <t>262 W 26TH ST</t>
  </si>
  <si>
    <t>6112 S WHIPPLE ST</t>
  </si>
  <si>
    <t>6909 W IMLAY ST</t>
  </si>
  <si>
    <t>12022 S PRINCETON AVE</t>
  </si>
  <si>
    <t>3502 W PALMER ST</t>
  </si>
  <si>
    <t>7421 S COLES AVE</t>
  </si>
  <si>
    <t>2928 S BROAD ST</t>
  </si>
  <si>
    <t>5216 W LAWRENCE AVE</t>
  </si>
  <si>
    <t>2315 W 112TH ST</t>
  </si>
  <si>
    <t>10432 S SANGAMON ST</t>
  </si>
  <si>
    <t>1636 W COLUMBIA AVE</t>
  </si>
  <si>
    <t>6619 N GLENWOOD AVE</t>
  </si>
  <si>
    <t>4101 N KEDZIE AVE</t>
  </si>
  <si>
    <t>6201 W DEVON AVE</t>
  </si>
  <si>
    <t>9952 S CHARLES ST</t>
  </si>
  <si>
    <t>5923 S SPAULDING AVE</t>
  </si>
  <si>
    <t>7475 N ROGERS AVE</t>
  </si>
  <si>
    <t>7932 S RICHMOND ST</t>
  </si>
  <si>
    <t>3506 W 73RD PL</t>
  </si>
  <si>
    <t>2641 W WINNEMAC AVE</t>
  </si>
  <si>
    <t>11030 S RIDGEWAY AVE</t>
  </si>
  <si>
    <t>3554 W SHAKESPEARE AVE</t>
  </si>
  <si>
    <t>9035 S DOBSON AVE</t>
  </si>
  <si>
    <t>2135 W DIVISION ST</t>
  </si>
  <si>
    <t>7155 N OLCOTT AVE</t>
  </si>
  <si>
    <t>11101 S AVENUE D</t>
  </si>
  <si>
    <t>3459 W OGDEN AVE</t>
  </si>
  <si>
    <t>1939 W GRACE ST</t>
  </si>
  <si>
    <t>5833 S OAK PARK AVE</t>
  </si>
  <si>
    <t>8026 S PRINCETON AVE</t>
  </si>
  <si>
    <t>7611 S LUELLA AVE</t>
  </si>
  <si>
    <t>2634 S WELLS ST</t>
  </si>
  <si>
    <t>3328 N SHEFFIELD AVE</t>
  </si>
  <si>
    <t>2501 N SACRAMENTO AVE</t>
  </si>
  <si>
    <t>4624 S ELLIS AVE</t>
  </si>
  <si>
    <t>7641 S WOOD ST</t>
  </si>
  <si>
    <t>3500 W 81ST PL</t>
  </si>
  <si>
    <t>500 W MONROE ST</t>
  </si>
  <si>
    <t>4924 N ROCKWELL ST</t>
  </si>
  <si>
    <t>9836 S GREENWOOD AVE</t>
  </si>
  <si>
    <t>315 W 118TH ST</t>
  </si>
  <si>
    <t>1437 S SPRINGFIELD AVE</t>
  </si>
  <si>
    <t>10410 S GREEN ST</t>
  </si>
  <si>
    <t>10000 W OHARE ST</t>
  </si>
  <si>
    <t>4848 N MERRIMAC AVE</t>
  </si>
  <si>
    <t>CHICAGO, IL</t>
  </si>
  <si>
    <t>HAWTHORNE DANA</t>
  </si>
  <si>
    <t>225 WASHINGTON LLC</t>
  </si>
  <si>
    <t>GRANADOS CARLOS</t>
  </si>
  <si>
    <t>SANCHEZ OSCAR</t>
  </si>
  <si>
    <t>PERRY ANTHONY</t>
  </si>
  <si>
    <t>RODEA ORLANDO</t>
  </si>
  <si>
    <t>DROVZOS DIMITRIOS</t>
  </si>
  <si>
    <t>BLACKMON SHANITHA</t>
  </si>
  <si>
    <t>VESTGEN WEALTH PARTNERS</t>
  </si>
  <si>
    <t>JABER AKRAM</t>
  </si>
  <si>
    <t>ZMORA ALEXIS</t>
  </si>
  <si>
    <t>JOHNSON ROBERT</t>
  </si>
  <si>
    <t>BLOOMBERG SHLOMO</t>
  </si>
  <si>
    <t>JANAIRO ANTHONY</t>
  </si>
  <si>
    <t>MUNOO YOMAIRA</t>
  </si>
  <si>
    <t>DOOLEY RYAN</t>
  </si>
  <si>
    <t>MAGDAN CONSTRUCTION INC</t>
  </si>
  <si>
    <t>LECH ZDZISLAW</t>
  </si>
  <si>
    <t>TOGE ADAM</t>
  </si>
  <si>
    <t>MALDONADO CAITLIN</t>
  </si>
  <si>
    <t>ORONSAYE VANESSA</t>
  </si>
  <si>
    <t>MERCY HOUSING LAKEFRONT</t>
  </si>
  <si>
    <t>VOLTZ &amp; ASSOCIATES ENTERPRIZE LLC</t>
  </si>
  <si>
    <t>PARAPET HOME, LLC.</t>
  </si>
  <si>
    <t>POOL MARK</t>
  </si>
  <si>
    <t>CHICAGO URBAN ESTATE LLC</t>
  </si>
  <si>
    <t>ARNOLD JOHN</t>
  </si>
  <si>
    <t>CONDOMINIUM ASSOCIATION IMPERIAL TOWERS</t>
  </si>
  <si>
    <t>HERRERA COSME</t>
  </si>
  <si>
    <t>ARMENDARIZ MARK</t>
  </si>
  <si>
    <t>COLLINS JEANNETTE</t>
  </si>
  <si>
    <t>RANZINO VALERIE</t>
  </si>
  <si>
    <t>WESTLAWN GOSPEL CHAPEL</t>
  </si>
  <si>
    <t>STENSLAND MICHAEL</t>
  </si>
  <si>
    <t>BLOCK JOHN</t>
  </si>
  <si>
    <t>NUNEZ HUGO</t>
  </si>
  <si>
    <t>THE MONASTERY FOUNDATION</t>
  </si>
  <si>
    <t>BAEV-LASALLE CHICAGO NORTH WACKER DRIVE, LLC</t>
  </si>
  <si>
    <t>HOOD ED</t>
  </si>
  <si>
    <t>360 N GREEN RESTAURANT LLC</t>
  </si>
  <si>
    <t>MITCHELL JACOB</t>
  </si>
  <si>
    <t>CASTANEDA ALTAGRACIA</t>
  </si>
  <si>
    <t>WEYERMULLER JAMIE</t>
  </si>
  <si>
    <t>CASTILLO ENRIQUE</t>
  </si>
  <si>
    <t>DAVIS VICTORIA</t>
  </si>
  <si>
    <t>CAPLEESA BENNY</t>
  </si>
  <si>
    <t>GARDNER DOROTHY</t>
  </si>
  <si>
    <t>JACKSON PETER</t>
  </si>
  <si>
    <t>NEDBALSKI MARY</t>
  </si>
  <si>
    <t>NXT REALTY DEVELOPMENT LLC</t>
  </si>
  <si>
    <t>WINKLER STANLEY</t>
  </si>
  <si>
    <t>FOLIO SQUARE CONDOMINIUM ASSOCIATION</t>
  </si>
  <si>
    <t>COTTON CRYSTAL</t>
  </si>
  <si>
    <t>GARCIA LIVING TRUST</t>
  </si>
  <si>
    <t>HUCKBERRY</t>
  </si>
  <si>
    <t>CHICAGO SPECIAL EVENTS MANAGEMENT</t>
  </si>
  <si>
    <t>JOSEPH SHANAE</t>
  </si>
  <si>
    <t>GALAN ALFONSO</t>
  </si>
  <si>
    <t>SCHLESINGER ROBERT</t>
  </si>
  <si>
    <t>HALE MARVIN</t>
  </si>
  <si>
    <t>COWAN JEREMY</t>
  </si>
  <si>
    <t>ADDISON JENNY</t>
  </si>
  <si>
    <t>NICOLANDIS GREGORY</t>
  </si>
  <si>
    <t>BABE'S SPORTS BAR LLC</t>
  </si>
  <si>
    <t>LAWYER JUDY</t>
  </si>
  <si>
    <t>RUSH UNIVERSITY MEDICAL CENTER</t>
  </si>
  <si>
    <t>TOWERS TORY</t>
  </si>
  <si>
    <t>ZOLL JACOB</t>
  </si>
  <si>
    <t>AGUILERA JOSE</t>
  </si>
  <si>
    <t>RAMOS CHITO</t>
  </si>
  <si>
    <t>SUAREZ GUSTAVO</t>
  </si>
  <si>
    <t>WU YUAN</t>
  </si>
  <si>
    <t>RHYU CAROL</t>
  </si>
  <si>
    <t>DAVIS SHAUNSHARAY</t>
  </si>
  <si>
    <t>TRANTHAM LILLIE</t>
  </si>
  <si>
    <t>N S MANAGEMENT LLC</t>
  </si>
  <si>
    <t>CALLAHAN BOB</t>
  </si>
  <si>
    <t>COLEMAN DELOIS</t>
  </si>
  <si>
    <t>TAYLOR DENNIS</t>
  </si>
  <si>
    <t>DIGITAL REALTY</t>
  </si>
  <si>
    <t>DIAZ YVONNE</t>
  </si>
  <si>
    <t>SOUTH SHORE UNITS LLC</t>
  </si>
  <si>
    <t>SOJKA KRYSTYNA</t>
  </si>
  <si>
    <t>SERRANO FELIX</t>
  </si>
  <si>
    <t>HORACE KENNETH</t>
  </si>
  <si>
    <t>GARCIA JOSUE</t>
  </si>
  <si>
    <t>GOLUB MANAGEMENT</t>
  </si>
  <si>
    <t>COLEMAN JEFFERY</t>
  </si>
  <si>
    <t>-OEMC CITY OF CHICAGO</t>
  </si>
  <si>
    <t>HEYMANN BEN</t>
  </si>
  <si>
    <t>GARCIA BRENDA</t>
  </si>
  <si>
    <t>YAUSSY KEVIN</t>
  </si>
  <si>
    <t>RCC HOLDINGS LLC</t>
  </si>
  <si>
    <t>KHATAU SANJEEV</t>
  </si>
  <si>
    <t>ALLEN WANNA</t>
  </si>
  <si>
    <t>BURMEISTER LARRY</t>
  </si>
  <si>
    <t>RISING SUN REAL ESTATE LLC</t>
  </si>
  <si>
    <t>STEELE ROBERTA</t>
  </si>
  <si>
    <t>TURYNA EARL</t>
  </si>
  <si>
    <t>HO THOI</t>
  </si>
  <si>
    <t>LOERA RAYGOZA ANGEL</t>
  </si>
  <si>
    <t>WOLF LAKE REAL ESTATE LLC</t>
  </si>
  <si>
    <t>GOVIS ADRIAN</t>
  </si>
  <si>
    <t>QUIGLEY CYNTHIA</t>
  </si>
  <si>
    <t>JOSEPH ALLY</t>
  </si>
  <si>
    <t>KIERAS MARK</t>
  </si>
  <si>
    <t>MONROIG JUAN</t>
  </si>
  <si>
    <t>HUNTER DEMARCUS</t>
  </si>
  <si>
    <t>COLLARD AARON</t>
  </si>
  <si>
    <t>VASQUEZ SILVIA</t>
  </si>
  <si>
    <t>MILLER MARK</t>
  </si>
  <si>
    <t>WHEELER GAILE</t>
  </si>
  <si>
    <t>DOTSON TUYET</t>
  </si>
  <si>
    <t>HERRING PATRICIA</t>
  </si>
  <si>
    <t>WEBB ROSS</t>
  </si>
  <si>
    <t>BOWERS JON</t>
  </si>
  <si>
    <t>COOPER KIMBERLY</t>
  </si>
  <si>
    <t>LACROSSE MANAGEMENT LLC</t>
  </si>
  <si>
    <t>KUTASI JOHN</t>
  </si>
  <si>
    <t>KRANING JAY</t>
  </si>
  <si>
    <t>KAPITAL ELECTRIC CO., INC</t>
  </si>
  <si>
    <t>247 EAST CHESTNUT CA</t>
  </si>
  <si>
    <t>ATAP INVESTMENT CORPORATION</t>
  </si>
  <si>
    <t>HASTINGS CENTER OFFICE, LLC</t>
  </si>
  <si>
    <t>WILLIAMS MICHAEL</t>
  </si>
  <si>
    <t>SALVATION ARMY FREEDOM CENTER</t>
  </si>
  <si>
    <t>MONTGOMERY MARCY</t>
  </si>
  <si>
    <t>340 ON THE PARK CONDOMINIUM ASSOCATION</t>
  </si>
  <si>
    <t>GRAHAM PATRICK</t>
  </si>
  <si>
    <t>TORTORELLI LOIS</t>
  </si>
  <si>
    <t>MALDONADO RIGOBERTO</t>
  </si>
  <si>
    <t>MICHAELS JEAN</t>
  </si>
  <si>
    <t>LAWRENCE SHORES CONDO ASSOC</t>
  </si>
  <si>
    <t>CHAMPION MARTIN</t>
  </si>
  <si>
    <t>KASS MANGEMENT</t>
  </si>
  <si>
    <t>SERRANO ALDO</t>
  </si>
  <si>
    <t>KRAUSE ALLISON</t>
  </si>
  <si>
    <t>GRADY MILTON</t>
  </si>
  <si>
    <t>RAFFEL RYAN</t>
  </si>
  <si>
    <t>CHICAGO TITLE LAND TRUST COMPANY #103701-04</t>
  </si>
  <si>
    <t>JCDECAUX CHICAGO COMMUNICATION NETWORK, LLC*</t>
  </si>
  <si>
    <t>AT&amp;T MOBILITY</t>
  </si>
  <si>
    <t>HUYNH TAM</t>
  </si>
  <si>
    <t>BROWN ARTHUR</t>
  </si>
  <si>
    <t>BUILDING BROAD MANAGEMENT</t>
  </si>
  <si>
    <t>TIPPET ALICE</t>
  </si>
  <si>
    <t>FMA PROPERTIES</t>
  </si>
  <si>
    <t>BARRETO JIMMIE</t>
  </si>
  <si>
    <t>GILL LEROY</t>
  </si>
  <si>
    <t>MORALES MANUEL</t>
  </si>
  <si>
    <t>PROPERTY INC.</t>
  </si>
  <si>
    <t>WILLIAMS VICTOR</t>
  </si>
  <si>
    <t>FRANCO ONESIMO</t>
  </si>
  <si>
    <t>NEET MIRIAM</t>
  </si>
  <si>
    <t>DALY DANIEL</t>
  </si>
  <si>
    <t>FIDINO MASON</t>
  </si>
  <si>
    <t>OBLINGER-HAMMOND RIPLEY</t>
  </si>
  <si>
    <t>BUSHMAN JAMIE</t>
  </si>
  <si>
    <t>DISKIN BRIAN</t>
  </si>
  <si>
    <t>ORNELAS J SANTOS</t>
  </si>
  <si>
    <t>PLAZA FOOD &amp; LIQUOR</t>
  </si>
  <si>
    <t>SHEERAN JENNA</t>
  </si>
  <si>
    <t>BITTNER SCOTT</t>
  </si>
  <si>
    <t>REED NANETTE</t>
  </si>
  <si>
    <t>SELECTIVEREC COMPANY</t>
  </si>
  <si>
    <t>YAO CONSTRUCTION INC</t>
  </si>
  <si>
    <t>MALAMIS EVAN</t>
  </si>
  <si>
    <t>SONEK ELECTRIC,INC.</t>
  </si>
  <si>
    <t>ANSONIA PROPERTY MANAGEMENT, LLC</t>
  </si>
  <si>
    <t>LOPEZ RIGO</t>
  </si>
  <si>
    <t>DAVIS SHERRON</t>
  </si>
  <si>
    <t>STERICYCLE</t>
  </si>
  <si>
    <t>OLSEN COLLEEN</t>
  </si>
  <si>
    <t>HAMILTON PATRICIA</t>
  </si>
  <si>
    <t>BAILEY PATRICK</t>
  </si>
  <si>
    <t>CARROLL ANDRE</t>
  </si>
  <si>
    <t>REMLINGER JOHN</t>
  </si>
  <si>
    <t>SLUPIK RYAN</t>
  </si>
  <si>
    <t>PURPOSE: NEW/REPLACEMENT INSTALLATION. VINYL/PVC FENCE - 6'-0' ' (HEIGHT) X 72'-0' ' (LENGTH). LOCATION: FRONTYARD/BACKYARD.</t>
  </si>
  <si>
    <t>LOW VOLTAGE/COMMUNICATION ELECTRICAL WORK. ALTER EXISTING SECURITY. ALTER EXISTING SECURITY. SPECIFIC LOCATION: SUITE 300.</t>
  </si>
  <si>
    <t>SCOPE: ROOF REPLACEMENT. AREA: 2300 SQ. FT. ROOF COVERING: MINERAL - SURFACED ROLL ROOFING. LOCATION: WORKING ON ROOF. IL ROOFING CONTRACTOR LICENSE: 104019660.</t>
  </si>
  <si>
    <t>INSTALL SOLAR PANELS ON ROOF OF ACCESSORY BUILDING. ROOF TYPE: SLOPED (2:12 TO 5:12). INVERTER OUTPUT: 10 KW. ARRAY OUTPUT: 4.92 KW.   INCLUDES 13.5 KWH ENERGY STORAGE SYSTEM.  LOCATION: ROOF PLANES OF DETACHED GARAGE. ICC DISTRIBUTED GENERATION INSTALLER CERT. #18-0817. | SPECIAL CONDITION: * NEC REFERENCES TO BE OMITTED FROM DRAWINGS, ALL GENERAL ELECTRICAL NOTES SHALL REFERENCE CEC 2018. * UNDERGROUND RACEWAY TO BE INSPECTED BY AHJ PRIOR TO COVERING. * REFER TO ELECTRICAL PERMIT B200437064.* ALL EQUIPMENT, CONNECTORS, RACEWAYS, TAPS, MUST BE LISTED AND LABELED FOR USE.</t>
  </si>
  <si>
    <t>TUCKPOINTING AND UNIT MASONRY REPAIR / REPLACEMENT: 50 SQ. FT., LINTEL QTY. 3, MAX. LENGTH 5. LOCATION: FRONT FACADE.</t>
  </si>
  <si>
    <t>SCOPE: ROOF RECOVER. AREA: 28 SQ. FT. ROOF COVERING: ASPHALT SHINGLES. LOCATION: ROOFING. IL ROOFING CONTRACTOR LICENSE: 104017203.</t>
  </si>
  <si>
    <t>LINE VOLTAGE ELECTRICAL WORK. NEW PERMANENT 125 AMP SERVICE DISCONNECTING MEANS WITH 1 CIRCUITS. RECEPTACLE OUTLETS: 1 . LIGHTING OUTLETS: 0. 13.5 KWH LITHIUM ION ENERGY STORAGE SYSTEM. SPECIFIC LOCATION: EXTERIOR WALL.</t>
  </si>
  <si>
    <t>LINE VOLTAGE ELECTRICAL WORK. NEW PERMANENT 400 AMP SERVICE DISCONNECTING MEANS WITH 20 CIRCUITS. RECEPTACLE OUTLETS: 1 . LIGHTING OUTLETS: 1. SPECIFIC LOCATION: BASEMENT.</t>
  </si>
  <si>
    <t>SCOPE: ROOF REPLACEMENT. AREA: 400 SQ. FT. ROOF COVERING: MINERAL - SURFACED ROLL ROOFING. LOCATION: REAR LOW SLOPE ROOF REPLACEMENT. IL ROOFING CONTRACTOR LICENSE: 104019683.</t>
  </si>
  <si>
    <t>LOW VOLTAGE/COMMUNICATION ELECTRICAL WORK. INSTALL SECURITY. SPECIFIC LOCATION: FLOOR 18.</t>
  </si>
  <si>
    <t>TUCKPOINTING AND UNIT MASONRY REPAIR / REPLACEMENT: 700 SQ. FT., LINTEL QTY. 7, MAX. LENGTH 5. LOCATION: FRONT FACADE.</t>
  </si>
  <si>
    <t>PURPOSE: LEGALIZE UNPERMITTED WORK. VINYL/PVC FENCE - 6'-0' ' (HEIGHT) X 60'-0' ' (LENGTH). LOCATION: BACKYARD.</t>
  </si>
  <si>
    <t>TUCKPOINTING AND UNIT MASONRY REPAIR / REPLACEMENT: 20 SQ. FT., LINTEL QTY. 1, MAX. LENGTH 4. LOCATION: AROUND THE WINDOWS.</t>
  </si>
  <si>
    <t>LINE VOLTAGE ELECTRICAL WORK. ALTER EXISTING SYSTEM III EMERGENCY LIGHTING.  RECEPTACLE OUTLETS: 0 . LIGHTING OUTLETS: 0. SPECIFIC LOCATION: APARTMENTS AND COMMOM HALLWAYS AND BASEMENT.</t>
  </si>
  <si>
    <t>TUCKPOINTING AND UNIT MASONRY REPAIR / REPLACEMENT: 300 SQ. FT., LINTEL QTY. 0, MAX. LENGTH 0. LOCATION: NORTH WALL.</t>
  </si>
  <si>
    <t>LINE VOLTAGE ELECTRICAL WORK. REPAIR OR ALTER DEVICES ON EXISTING CIRCUITS. RECEPTACLE OUTLETS: 0 . LIGHTING OUTLETS: 4. SPECIFIC LOCATION: REAR PART OF THE BUILDING.</t>
  </si>
  <si>
    <t>INSTALL SOLAR PANELS ON ROOF OF ACCESSORY BUILDING. ROOF TYPE: SLOPED (2:12 TO 5:12). INVERTER OUTPUT: 4.56 KW. ARRAY OUTPUT: 5.4 KW.  LOCATION: ROOF OF DETACHED GARAGE. ICC DISTRIBUTED GENERATION INSTALLER CERT. #18-0495. | SPECIAL CONDITION: * NEC REFERENCES TO BE OMITTED FROM DRAWINGS, ALL GENERAL ELECTRICAL NOTES SHALL REFERENCE CEC 2018.* ALL EQUIPMENT, CONNECTORS, RACEWAYS, TAPS, MUST BE LISTED AND LABELED FOR USE.</t>
  </si>
  <si>
    <t>SCOPE: ROOF REPLACEMENT. AREA: 2200 SQ. FT. ROOF COVERING: BUILT-UP ROOF. LOCATION: REPLACE ROOF TO WALL FLASHING. IL ROOFING CONTRACTOR LICENSE: 104016500.</t>
  </si>
  <si>
    <t>LINE VOLTAGE ELECTRICAL WORK. NEW PERMANENT 100 AMP SERVICE DISCONNECTING MEANS WITH 42 CIRCUITS. RECEPTACLE OUTLETS: 3 . LIGHTING OUTLETS: 0. SPECIFIC LOCATION: CHICAGO.</t>
  </si>
  <si>
    <t>FULL REBUILD (SAME AS EXISTING) FOR WOOD PORCH (OPEN) (QUANTITY: 1, LOCATION: FRONT OF BUILDING).  LANDING: 133 SQUARE FEET.  LANDING NOT MORE THAN 6 FEET ABOVE GROUND.</t>
  </si>
  <si>
    <t>LINE VOLTAGE ELECTRICAL WORK. NEW PERMANENT 125 AMP SERVICE DISCONNECTING MEANS WITH 1 CIRCUITS. RECEPTACLE OUTLETS: 1 . LIGHTING OUTLETS: 0. 13.5 KWH LITHIUM ION ENERGY STORAGE SYSTEM. SPECIFIC LOCATION: EXTERIOR WALL, MAIN PANEL REPLACEMENT.</t>
  </si>
  <si>
    <t>LINE VOLTAGE ELECTRICAL WORK. NEW PERMANENT 21 AMP SERVICE DISCONNECTING MEANS WITH 2 CIRCUITS. RECEPTACLE OUTLETS: 1 . LIGHTING OUTLETS: 0. SPECIFIC LOCATION: SOUTHWEST SIDE OF THE HOUSE.</t>
  </si>
  <si>
    <t>HYDRONIC PIPING EXTENSION/RECONFIGURATION, REPAIR/REPLACEMENT AFFECTING 1 SYSTEMS :   1 CHILLER(QUANTECH, QTC3070TSJ17XF, EXTERIOR ON GRADE) . ELECTRICAL WORK UNDER THIS PERMIT = YES . LOCATIONS: 0 RESIDENTIAL UNIT(S), 0 NON-RESIDENTIAL UNIT(S), EXTERIOR WORK,  PARKING LOT.</t>
  </si>
  <si>
    <t>LINE VOLTAGE ELECTRICAL WORK. NEW PERMANENT 200 AMP SERVICE DISCONNECTING MEANS WITH 6 CIRCUITS. RECEPTACLE OUTLETS: 1 . LIGHTING OUTLETS: 1. SPECIFIC LOCATION: OUTSIDE SERVICE.</t>
  </si>
  <si>
    <t>FULL REBUILD (SAME AS EXISTING) FOR WOOD PORCH (OPEN) (QUANTITY: 2, LOCATION: FRONT OF BUILDING).  LANDING: 30 SQUARE FEET.  LANDING NOT MORE THAN 6 FEET ABOVE GROUND. CONCRETE WORK.</t>
  </si>
  <si>
    <t>FULL REBUILD (SAME AS EXISTING) FOR WOOD PORCH (OPEN) (QUANTITY: 1, LOCATION: REAR OF BUILDING).</t>
  </si>
  <si>
    <t>REPAIR OR IN-KIND REPLACEMENT OF 1 PLUMBING FIXTURES AS DESCRIBED IN PERMIT APPLICATION.  INCLUDES REPAIR OR REPLACMENT OF PLUMBING PIPING.  LOCATIONS: 1 RESIDENTIAL UNIT(S), 0 NON-RESIDENTIAL UNIT(S), 1 INTERIOR COMMON AREAS, BASEMENT.</t>
  </si>
  <si>
    <t>LINE VOLTAGE ELECTRICAL WORK. NEW PERMANENT 200 AMP SERVICE DISCONNECTING MEANS WITH 40 CIRCUITS. RECEPTACLE OUTLETS: 1 . LIGHTING OUTLETS: 1. SPECIFIC LOCATION: BASEMENT.</t>
  </si>
  <si>
    <t>SCOPE: NONSTRUCTURAL INTERIOR ALTERATION TO EXISTING OFFICE TO INCLUDE NEW PARTITION AND DOOR OPENING FOR NEW PRIVATE OFFICE. LOCATIONS: 0 RESIDENTIAL UNIT(S), 0 NON-RESIDENTIAL UNIT(S), 1 INTERIOR COMMON AREAS, FIRST FLOOR MANAGEMENT OFFICE.</t>
  </si>
  <si>
    <t>TUCKPOINTING AND UNIT MASONRY REPAIR / REPLACEMENT: 252 SQ. FT., LINTEL QTY. 53, MAX. LENGTH 6. PARAPET REBUILDING: 228 SQ. FT. LOCATION: SOUTH AND WEST ELEVATIONS.</t>
  </si>
  <si>
    <t>SCOPE: NONSTRUCTURAL INTERIOR ALTERATION WITHIN BASEMENT AND KITCHEN ELECTRICAL AND PLUMBING. LOCATIONS: 1 RESIDENTIAL UNIT(S), 0 NON-RESIDENTIAL UNIT(S), KITCHEN AND BASEMENT.</t>
  </si>
  <si>
    <t>NEW DETACHED WOOD FRAME GARAGE. DIMENSIONS AND SETBACKS PER APPLICATION. BUILDING OUTSIDE DIMENSIONS: 20'-0' ' X20'-0' '. HIP ROOF HEIGHT TO PEAK: 13'-0' '.</t>
  </si>
  <si>
    <t>PURPOSE: NEW/REPLACEMENT INSTALLATION. VINYL/PVC FENCE - 6'-0' ' (HEIGHT) X 77'-0' ' (LENGTH). LOCATION: EASTERN SIDE WHEN FACING PROPERTY..</t>
  </si>
  <si>
    <t>SCOPE: ROOF REPLACEMENT. AREA: 1000 SQ. FT. ROOF COVERING: MINERAL - SURFACED ROLL ROOFING. LOCATION: ROOFTOP. IL ROOFING CONTRACTOR LICENSE: 104000394.</t>
  </si>
  <si>
    <t>LINE VOLTAGE ELECTRICAL WORK. INSTALL PERMANENT-REQUIRED BY CODE 26 KW OTHER GENERATOR. RECEPTACLE OUTLETS: 0 . LIGHTING OUTLETS: 0. SPECIFIC LOCATION: BACK OF HOUSE.</t>
  </si>
  <si>
    <t>NEW DETACHED WOOD FRAME GARAGE. DIMENSIONS AND SETBACKS PER APPLICATION. BUILDING OUTSIDE DIMENSIONS: 24'-0' ' X22'-0' '. HIP ROOF HEIGHT TO PEAK: 12'-0' '.</t>
  </si>
  <si>
    <t>SCOPE: ROOF REPAIR. AREA: 1450 SQ. FT. ROOF COVERING: ASPHALT SHINGLES. LOCATION: ROOF REPLACEMENT ALL WORK SAE. IL ROOFING CONTRACTOR LICENSE: 104005880.</t>
  </si>
  <si>
    <t>PURPOSE: NEW/REPLACEMENT INSTALLATION. WROUGHT IRON FENCE - 6'-0' ' (HEIGHT) X 100'-0' ' (LENGTH). LOCATION: 1350 E. 70TH STREET.</t>
  </si>
  <si>
    <t>INSTALL SOLAR PANELS ON ROOF OF PRINCIPAL BUILDING. ROOF TYPE: SLOPED (2:12 TO 5:12). INVERTER OUTPUT: 3.8 KW. ARRAY OUTPUT: 3.24 KW.  LOCATION: SOLAR ROOFTOP INSTALL ON HOUSE. ICC DISTRIBUTED GENERATION INSTALLER CERT. #18-1231. | SPECIAL CONDITION: * NEC REFERENCES TO BE OMITTED FROM DRAWINGS, ALL GENERAL ELECTRICAL NOTES SHALL REFERENCE CEC 2018. * ALL EQUIPMENT, CONNECTORS, RACEWAYS, TAPS, MUST BE LISTED AND LABELED FOR USE.</t>
  </si>
  <si>
    <t>LOW VOLTAGE/COMMUNICATION ELECTRICAL WORK. INSTALL SECURITY. SPECIFIC LOCATION: 21ST &amp; 22ND FLOORS.</t>
  </si>
  <si>
    <t>LINE VOLTAGE ELECTRICAL WORK. REPAIR OR ALTER DEVICES ON EXISTING CIRCUITS. RECEPTACLE OUTLETS: 1 . LIGHTING OUTLETS: 2. SPECIFIC LOCATION: BEDROOM.</t>
  </si>
  <si>
    <t>LOW VOLTAGE/COMMUNICATION ELECTRICAL WORK. INSTALL DATA/VIDEO. SPECIFIC LOCATION: 1ST FLOOR.</t>
  </si>
  <si>
    <t>INSTALL SOLAR PANELS ON ROOF OF ACCESSORY BUILDING. ROOF TYPE: SLOPED (2:12 TO 5:12). INVERTER OUTPUT: 12.48 KW. ARRAY OUTPUT: 16.575 KW.  LOCATION: ROOFING. ICC DISTRIBUTED GENERATION INSTALLER CERT. #25-0056. | SPECIAL CONDITION: * NEC REFERENCES TO BE OMITTED FROM DRAWINGS, ALL GENERAL ELECTRICAL NOTES SHALL REFERENCE CEC 2018. * REFER TO SOLAR (PRINCIPAL) PERMIT B200436815.* UNDERGROUND RACEWAY TO BE INSPECTED BY AHJ PRIOR TO COVERING. * ALL EQUIPMENT, CONNECTORS, RACEWAYS, TAPS, MUST BE LISTED AND LABELED FOR USE.</t>
  </si>
  <si>
    <t>SCOPE: NONSTRUCTURAL INTERIOR REPLACEMENT OF INTERIOR FLOORS, PATCH AND REPAIR WALLS, UNDER 1000 SQ FT OF DRYWALL REPLACEMENT, NO CHANGE TO FLOOR PLAN, NO ELECTRICAL OR PLUMBING WORK.LOCATIONS: 1 RESIDENTIAL UNIT(S), 0 NON-RESIDENTIAL UNIT(S), PAINT, REMOVE GARBAGE</t>
  </si>
  <si>
    <t>LIMITED REPAIR (25% OR LESS) FOR WOOD PORCH (OPEN) (QUANTITY: 1, LOCATION: EAST SIDE OF BUILDING).  LANDING: 35 SQUARE FEET.  LANDING NOT MORE THAN 6 FEET ABOVE GROUND.</t>
  </si>
  <si>
    <t>SCOPE: NONSTRUCTURAL INTERIOR REMOVAL OF UNPERMITTED RESIDENTIAL UNIT FEATURES - DECONVERT BASEMENT, RETURN TO OPEN BASEMENT WITH FULL BATH WITHIN A SINGLE-FAMILY HOME, CAP AND REMOVE KITCHEN PLUMBING, REMOVE APPLIANCES AND CABINETS. LOCATIONS: 1 RESIDENTIAL UNIT(S), 0 NON-RESIDENTIAL UNIT(S), BASEMENT ONLY.</t>
  </si>
  <si>
    <t>TUCKPOINTING AND UNIT MASONRY REPAIR / REPLACEMENT: 800 SQ. FT., LINTEL QTY. 1, MAX. LENGTH 4. LOCATION: FRONT OF BUILDING.</t>
  </si>
  <si>
    <t>INSTALL SOLAR PANELS ON ROOF OF PRINCIPAL BUILDING. ROOF TYPE: SLOPED (2:12 TO 5:12). INVERTER OUTPUT: 10 KW. ARRAY OUTPUT: 6.97 KW.   INCLUDES 13.5 KWH ENERGY STORAGE SYSTEM.  LOCATION: ROOF PLANES OF HOME. ICC DISTRIBUTED GENERATION INSTALLER CERT. #18-0817. | SPECIAL CONDITION: * NEC REFERENCES TO BE OMITTED FROM DRAWINGS, ALL GENERAL ELECTRICAL NOTES SHALL REFERENCE CEC 2018. * REFER TO ELECTRICAL PERMIT B200437220.* ALL EQUIPMENT, CONNECTORS, RACEWAYS, TAPS, MUST BE LISTED AND LABELED FOR USE.</t>
  </si>
  <si>
    <t>LINE VOLTAGE ELECTRICAL WORK. NEW PERMANENT 100 AMP SERVICE DISCONNECTING MEANS WITH 1 CIRCUITS. RECEPTACLE OUTLETS: 1 . LIGHTING OUTLETS: 0. 13.5 KWH LITHIUM ION ENERGY STORAGE SYSTEM. SPECIFIC LOCATION: EXTERIOR WALL.</t>
  </si>
  <si>
    <t>LINE VOLTAGE ELECTRICAL WORK. REPAIR OR ALTER DEVICES ON EXISTING CIRCUITS. RECEPTACLE OUTLETS: 5 . LIGHTING OUTLETS: 5. SPECIFIC LOCATION: FIRST FLOOR.</t>
  </si>
  <si>
    <t>TUCKPOINTING AND UNIT MASONRY REPAIR / REPLACEMENT: 80 SQ. FT., LINTEL QTY. 2, MAX. LENGTH 9. LOCATION: EXTERIOR MASONRY REPAIRS AT NORTH &amp; WEST SIDE BLDG.</t>
  </si>
  <si>
    <t>INSTALL SOLAR PANELS ON ROOF OF PRINCIPAL BUILDING. ROOF TYPE: SLOPED (2:12 TO 5:12). INVERTER OUTPUT: 10 KW. ARRAY OUTPUT: 5.33 KW.   INCLUDES 13.5 KWH ENERGY STORAGE SYSTEM.  LOCATION: ROOF PLANES OF HOME. ICC DISTRIBUTED GENERATION INSTALLER CERT. #18-0817. | SPECIAL CONDITION: * NEC REFERENCES TO BE OMITTED FROM DRAWINGS, ALL GENERAL ELECTRICAL NOTES SHALL REFERENCE CEC 2018. * REFER TO SOLAR (ACCESSORY) PERMIT B200437227 AND ELECTRICAL PERMIT B200437229.* UNDERGROUND RACEWAY TO BE INSPECTED BY AHJ PRIOR TO COVERING.* ALL EQUIPMENT, CONNECTORS, RACEWAYS, TAPS, MUST BE LISTED AND LABELED FOR USE.</t>
  </si>
  <si>
    <t>TUCKPOINTING AND UNIT MASONRY REPAIR / REPLACEMENT: 500 SQ. FT., LINTEL QTY. 0, MAX. LENGTH 0. LOCATION: NEAR ROOF.</t>
  </si>
  <si>
    <t>INSTALL SOLAR PANELS ON ROOF OF ACCESSORY BUILDING. ROOF TYPE: SLOPED (2:12 TO 5:12). INVERTER OUTPUT: 10 KW. ARRAY OUTPUT: 3.69 KW.   INCLUDES 13.5 KWH ENERGY STORAGE SYSTEM.  LOCATION: ROOF PLANES OF DETACHED GARAGE. ICC DISTRIBUTED GENERATION INSTALLER CERT. #18-0817. | SPECIAL CONDITION: * NEC REFERENCES TO BE OMITTED FROM DRAWINGS, ALL GENERAL ELECTRICAL NOTES SHALL REFERENCE CEC 2018. * REFER TO SOLAR (PRINCIPAL) PERMIT B200437225 AND ELECTRICAL PERMIT B200437229.* UNDERGROUND RACEWAY TO BE INSPECTED BY AHJ PRIOR TO COVERING.* ALL EQUIPMENT, CONNECTORS, RACEWAYS, TAPS, MUST BE LISTED AND LABELED FOR USE.</t>
  </si>
  <si>
    <t>INSTALL SOLAR PANELS ON ROOF OF PRINCIPAL BUILDING. ROOF TYPE: SLOPED (2:12 TO 5:12). INVERTER OUTPUT: 10 KW. ARRAY OUTPUT: 9.02 KW.   INCLUDES 13.5 KWH ENERGY STORAGE SYSTEM.  LOCATION: ROOF PLANES OF HOME. ICC DISTRIBUTED GENERATION INSTALLER CERT. #18-0817. | SPECIAL CONDITION: * NEC REFERENCES TO BE OMITTED FROM DRAWINGS, ALL GENERAL ELECTRICAL NOTES SHALL REFERENCE CEC 2018. * REFER TO ELECTRICAL PERMIT B200436779.* ALL EQUIPMENT, CONNECTORS, RACEWAYS, TAPS, MUST BE LISTED AND LABELED FOR USE.</t>
  </si>
  <si>
    <t>LINE VOLTAGE ELECTRICAL WORK. NEW PERMANENT 100 AMP SERVICE DISCONNECTING MEANS WITH 1 CIRCUITS. RECEPTACLE OUTLETS: 1 . LIGHTING OUTLETS: 0. 13.5 KWH LITHIUM ION ENERGY STORAGE SYSTEM. SPECIFIC LOCATION: EXTERIOR WALL, TRENCHING.</t>
  </si>
  <si>
    <t>SCOPE: ROOF REPLACEMENT. AREA: 2400 SQ. FT. ROOF COVERING: ASPHALT SHINGLES. LOCATION: ON ROOF. IL ROOFING CONTRACTOR LICENSE: 104020395.</t>
  </si>
  <si>
    <t>LINE VOLTAGE ELECTRICAL WORK. ADD 21 CIRCUITS TO EXISTING 200 AMP SERVICE DISCONNECTING MEANS. RECEPTACLE OUTLETS: 11 . LIGHTING OUTLETS: 14. SPECIFIC LOCATION: GROUND FLOOR RETAIL SPACE.</t>
  </si>
  <si>
    <t>LINE VOLTAGE ELECTRICAL WORK. NEW PERMANENT 100 AMP SERVICE DISCONNECTING MEANS WITH 1 CIRCUITS. NEW PERMANENT 100 AMP SERVICE DISCONNECTING MEANS WITH 1 CIRCUITS. NEW PERMANENT 100 AMP SERVICE DISCONNECTING MEANS WITH 1 CIRCUITS. NEW PERMANENT 100 AMP SERVICE DISCONNECTING MEANS WITH 1 CIRCUITS. RECEPTACLE OUTLETS: 1 . LIGHTING OUTLETS: 0. SPECIFIC LOCATION: FRONT.</t>
  </si>
  <si>
    <t>TUCKPOINTING AND UNIT MASONRY REPAIR / REPLACEMENT: 100 SQ. FT., LINTEL QTY. 0, MAX. LENGTH 0. PARAPET REBUILDING: 20 SQ. FT. LOCATION: WEST AND EAST ELEVATION (EXTERIOR WALLS).</t>
  </si>
  <si>
    <t>LINE VOLTAGE ELECTRICAL WORK. REPAIR OR ALTER DEVICES ON EXISTING CIRCUITS. RECEPTACLE OUTLETS: 5 . LIGHTING OUTLETS: 1. SPECIFIC LOCATION: KITCHEN ON 11BN.</t>
  </si>
  <si>
    <t>REPAIR OR IN-KIND REPLACEMENT OF 5 PLUMBING FIXTURES AS DESCRIBED IN PERMIT APPLICATION.  INCLUDES REPAIR OR REPLACMENT OF PLUMBING PIPING.  LOCATIONS: 1 RESIDENTIAL UNIT(S), 0 NON-RESIDENTIAL UNIT(S), BASEMENT.</t>
  </si>
  <si>
    <t>INSTALL SOLAR PANELS ON ROOF OF PRINCIPAL BUILDING. ROOF TYPE: STEEP (&gt;5:12). INVERTER OUTPUT: 9.88 KW. ARRAY OUTPUT: 11.7 KW.  LOCATION: ROOFTOP - PRINCIPAL STRUCTURE. ICC DISTRIBUTED GENERATION INSTALLER CERT. #18-0735. | SPECIAL CONDITION: * NEC REFERENCES TO BE OMITTED FROM DRAWINGS, ALL GENERAL ELECTRICAL NOTES SHALL REFERENCE CEC 2018. * ALL EQUIPMENT, CONNECTORS, RACEWAYS, TAPS, MUST BE LISTED AND LABELED FOR USE.</t>
  </si>
  <si>
    <t>TUCKPOINTING AND UNIT MASONRY REPAIR / REPLACEMENT: 500 SQ. FT., LINTEL QTY. 0, MAX. LENGTH 0. LOCATION: PARAPET, CHIMNEY, REAR PORCH.</t>
  </si>
  <si>
    <t>TUCKPOINTING AND UNIT MASONRY REPAIR / REPLACEMENT: 120 SQ. FT., LINTEL QTY. 0, MAX. LENGTH 0. LOCATION: FRONT FACADE.</t>
  </si>
  <si>
    <t>REPAIR OR IN-KIND REPLACEMENT OF 12 PLUMBING FIXTURES AS DESCRIBED IN PERMIT APPLICATION.  INCLUDES REPAIR OR REPLACMENT OF PLUMBING PIPING.  LOCATIONS: 0 RESIDENTIAL UNIT(S), 1 NON-RESIDENTIAL UNIT(S), 3017 STOREFRONT WITHIN 3009 BUILDING. | SPECIAL CONDITION: NO EXTERIOR WORK.</t>
  </si>
  <si>
    <t>PURPOSE: NEW/REPLACEMENT INSTALLATION. CHAIN LINK FENCE - 6'-0' ' (HEIGHT) X 30'-0' ' (LENGTH). LOCATION: REAR SIDE OF THE PROPERTY.</t>
  </si>
  <si>
    <t>SCOPE: ROOF REPLACEMENT. AREA: 17300 SQ. FT.ROOF COVERING: BUILT-UP ROOF.LOCATION: NORTH ATRIUM ROOF.IL ROOFING CONTRACTOR LICENSE: 104000134.</t>
  </si>
  <si>
    <t>LINE VOLTAGE ELECTRICAL WORK. NEW PERMANENT 225 AMP SERVICE DISCONNECTING MEANS WITH 1 CIRCUITS. RECEPTACLE OUTLETS: 1 . LIGHTING OUTLETS: 0. 13.5 KWH LITHIUM ION ENERGY STORAGE SYSTEM. SPECIFIC LOCATION: EXTERIOR WALL, SERVICE CONDUCTOR, SPAN MAIN PANEL.</t>
  </si>
  <si>
    <t>PURPOSE: NEW/REPLACEMENT INSTALLATION. CHAIN LINK FENCE - 6'-0' ' (HEIGHT) X 170'-0' ' (LENGTH). LOCATION: FRONT FACADES.</t>
  </si>
  <si>
    <t>LINE VOLTAGE ELECTRICAL WORK. NEW PERMANENT 125 AMP SERVICE DISCONNECTING MEANS WITH 1 CIRCUITS. RECEPTACLE OUTLETS: 1 . LIGHTING OUTLETS: 0. 13.5 KWH LITHIUM ION ENERGY STORAGE SYSTEM. SPECIFIC LOCATION: EXTERIOR WALL, METER, PANEL, SERVICE CONDUCTORS.</t>
  </si>
  <si>
    <t>LINE VOLTAGE ELECTRICAL WORK. NEW PERMANENT 200 AMP SERVICE DISCONNECTING MEANS WITH 1 CIRCUITS. RECEPTACLE OUTLETS: 1 . LIGHTING OUTLETS: 0. 13.5 KWH LITHIUM ION ENERGY STORAGE SYSTEM. SPECIFIC LOCATION: EXTERIOR WALL, TRENCHING.</t>
  </si>
  <si>
    <t>IN-KIND REPLACEMENT OF EXTERIOR WINDOWS AND DOORS IN EXISTING OPENINGS. REPLACEMENT WINDOWS: 33; REPLACEMENT SKYLIGHTS: 0; REPLACEMENT DOORS: 4. AFFECTS: 1 RESIDENTIAL UNIT(S), 0 NON-RESIDENTIAL UNIT(S), LOCATION: 1ST AND 2ND FLOORS.</t>
  </si>
  <si>
    <t>LINE VOLTAGE ELECTRICAL WORK. NEW PERMANENT 200 AMP SERVICE DISCONNECTING MEANS WITH 1 CIRCUITS. RECEPTACLE OUTLETS: 1 . LIGHTING OUTLETS: 1. SPECIFIC LOCATION: INTERIOR.</t>
  </si>
  <si>
    <t>LINE VOLTAGE ELECTRICAL WORK. NEW PERMANENT 200 AMP SERVICE DISCONNECTING MEANS WITH 42 CIRCUITS. RECEPTACLE OUTLETS: 1 . LIGHTING OUTLETS: 1. SPECIFIC LOCATION: BACK OF BUILDING WALL.</t>
  </si>
  <si>
    <t>SCOPE: ROOF REPLACEMENT. AREA: 2000 SQ. FT. ROOF COVERING: OTHER. LOCATION: ROOF OF 1927 LAWNDALE AVE. IL ROOFING CONTRACTOR LICENSE: 104016301.</t>
  </si>
  <si>
    <t>INSTALL SOLAR PANELS ON ROOF OF PRINCIPAL BUILDING. ROOF TYPE: STEEP (&gt;5:12). INVERTER OUTPUT: 10 KW. ARRAY OUTPUT: 7.38 KW.   INCLUDES 13.5 KWH ENERGY STORAGE SYSTEM.  LOCATION: ROOF PLANES OF HOME. ICC DISTRIBUTED GENERATION INSTALLER CERT. #18-0817. | SPECIAL CONDITION: * NEC REFERENCES TO BE OMITTED FROM DRAWINGS, ALL GENERAL ELECTRICAL NOTES SHALL REFERENCE CEC 2018. * REFER TO ELECTRICAL PERMIT B200436777.* ALL EQUIPMENT, CONNECTORS, RACEWAYS, TAPS, MUST BE LISTED AND LABELED FOR USE.</t>
  </si>
  <si>
    <t>TUCKPOINTING AND UNIT MASONRY REPAIR / REPLACEMENT: 25 SQ. FT., LINTEL QTY. 3, MAX. LENGTH 4. LOCATION: FRONT FACADE ON MULTIPLE FLOORS.</t>
  </si>
  <si>
    <t>REPAIR OR IN-KIND REPLACEMENT OF 7 PLUMBING FIXTURES AS DESCRIBED IN PERMIT APPLICATION.  REPAIR OR IN-KIND REPLACEMENT OF HOT WATER HEATER(S).  INCLUDES REPAIR OR REPLACMENT OF PLUMBING PIPING.  LOCATIONS: 1 RESIDENTIAL UNIT(S), 0 NON-RESIDENTIAL UNIT(S), BASEMENT AND 1ST FLOOR.</t>
  </si>
  <si>
    <t>SCOPE: ROOF RECOVER. AREA: 1600 SQ. FT. ROOF COVERING: ASPHALT SHINGLES. LOCATION: ROOF RECOVER. IL ROOFING CONTRACTOR LICENSE: 104017132.</t>
  </si>
  <si>
    <t>LINE VOLTAGE ELECTRICAL WORK. NEW PERMANENT 100 AMP SERVICE DISCONNECTING MEANS WITH 1 CIRCUITS. RECEPTACLE OUTLETS: 1 . LIGHTING OUTLETS: 0. 13.5 KWH LITHIUM ION ENERGY STORAGE SYSTEM. SPECIFIC LOCATION: EXTERIOR WALL, SERVICE CONDUCTOR.</t>
  </si>
  <si>
    <t>TUCKPOINTING AND UNIT MASONRY REPAIR / REPLACEMENT: 15000 SQ. FT., LINTEL QTY. 10, MAX. LENGTH 20. CONCRETE MASONRY REPAIR / REPLACEMNT: 200SQ. FT., EXCAVATION = NO. PARAPET REBUILDING: 240 SQ. FT. LOCATION: 8TH FLOOR SETBACK &amp; PENTHOUSE. | SPECIAL CONDITION: APPROVED PER ATTACHMENTS RECEIVED 8/8/25: BRICK REMOVED TO BE SALVAGED AND REPLACED TO GREATEST EXTENT FEASIBLE. NEW BRICK TO MATCH HISTORIC IN SIZE, SHAPE, COLOR, TEXTURE, &amp; FINISH. NEW MORTAR TO MATCH HISTORIC MORTAR IN COLOR, JOINT PROFILE, TEXTURE, &amp; STRENGTH/TYPE. WHEN GRINDING EXISTING MORTAR JOINTS, SURROUNDING MASONRY UNITS SHALL NOT BE OVERCUT. DRY GRINDING ONLY, NO CHEMICAL CLEANING OR SAND BLASTING. PRESSURE WASHING LESS THAN 400PSI W/ FAN TIP BRUSH.</t>
  </si>
  <si>
    <t>INSTALL SOLAR PANELS ON ROOF OF PRINCIPAL BUILDING. ROOF TYPE: SLOPED (2:12 TO 5:12). INVERTER OUTPUT: 10 KW. ARRAY OUTPUT: 8.2 KW.   INCLUDES 13.5 KWH ENERGY STORAGE SYSTEM.  LOCATION: ROOF PLANES OF HOME. ICC DISTRIBUTED GENERATION INSTALLER CERT. #18-0817. | SPECIAL CONDITION: * NEC REFERENCES TO BE OMITTED FROM DRAWINGS, ALL GENERAL ELECTRICAL NOTES SHALL REFERENCE CEC 2018. * REFER TO ELECTRICAL PERMIT B200436773.* ALL EQUIPMENT, CONNECTORS, RACEWAYS, TAPS, MUST BE LISTED AND LABELED FOR USE.</t>
  </si>
  <si>
    <t>LINE VOLTAGE ELECTRICAL WORK. ALTER EXISTING SYSTEM III EMERGENCY LIGHTING.  RECEPTACLE OUTLETS: 0 . LIGHTING OUTLETS: 0. SPECIFIC LOCATION: ALL COMMON AREAS.</t>
  </si>
  <si>
    <t>INSTALL SOLAR PANELS ON ROOF OF PRINCIPAL BUILDING. ROOF TYPE: SLOPED (2:12 TO 5:12). INVERTER OUTPUT: 10 KW. ARRAY OUTPUT: 5.33 KW.   INCLUDES 13.5 KWH ENERGY STORAGE SYSTEM.  LOCATION: ROOF PLANES OF HOME. ICC DISTRIBUTED GENERATION INSTALLER CERT. #18-0817. | SPECIAL CONDITION: * NEC REFERENCES TO BE OMITTED FROM DRAWINGS, ALL GENERAL ELECTRICAL NOTES SHALL REFERENCE CEC 2018. * REFER TO ELECTRICAL PERMIT B200437336.* ALL EQUIPMENT, CONNECTORS, RACEWAYS, TAPS, MUST BE LISTED AND LABELED FOR USE.</t>
  </si>
  <si>
    <t>TUCKPOINTING AND UNIT MASONRY REPAIR / REPLACEMENT: 120 SQ. FT., LINTEL QTY. 0, MAX. LENGTH 0. PARAPET REBUILDING: 300 SQ. FT. LOCATION: FRONT FACADE AND SIDES AND ROOF.</t>
  </si>
  <si>
    <t>PURPOSE: NEW/REPLACEMENT INSTALLATION. VINYL/PVC FENCE - 6'-0' ' (HEIGHT) X 62'-0' ' (LENGTH). LOCATION: NORTH, REAR SIDE OF THE PROPERTY.</t>
  </si>
  <si>
    <t>REPAIR OR IN-KIND REPLACEMENT OF 0 PLUMBING FIXTURES AS DESCRIBED IN PERMIT APPLICATION.  INCLUDES REPAIR OR REPLACMENT OF PLUMBING PIPING.  LOCATIONS: 0 RESIDENTIAL UNIT(S), 0 NON-RESIDENTIAL UNIT(S), 1 INTERIOR COMMON AREAS, BASEMENT.</t>
  </si>
  <si>
    <t>REPAIR OR IN-KIND REPLACEMENT OF 0 PLUMBING FIXTURES AS DESCRIBED IN PERMIT APPLICATION.  INCLUDES REPAIR OR REPLACMENT OF PLUMBING PIPING.  LOCATIONS: 0 RESIDENTIAL UNIT(S), 0 NON-RESIDENTIAL UNIT(S), 1 INTERIOR COMMON AREAS,  EXTERIOR WORK, BASEMENT AND SIDE WALK OUTSIDE OF THE BUILDING.</t>
  </si>
  <si>
    <t>TUCKPOINTING AND UNIT MASONRY REPAIR / REPLACEMENT: 5000 SQ. FT., LINTEL QTY. 0, MAX. LENGTH 0. LOCATION: MASONRY WORK AS NEEDED.</t>
  </si>
  <si>
    <t>DUCTWORK EXTENSION/RECONFIGURATION, GAS PIPING EXTENSION/RECONFIGURATION, REPAIR/REPLACEMENT AFFECTING 1 SYSTEMS :   1 ROOFTOP PACKAGED UNIT(TRANE BYC 130G3HDA, ROOF) . ELECTRICAL WORK UNDER THIS PERMIT = YES . LOCATIONS: 0 RESIDENTIAL UNIT(S), 1 NON-RESIDENTIAL UNIT(S), EXTERIOR WORK,  ROOF, OFFICES, BATHROOMS. | SPECIAL CONDITION: CONTACT REFRIGERATION SUPERVISOR CLEMENT GAVIN 312-743-3562, PRIOR TO THE INSTALLATION OF ANY ROOFTOP EQUIPMENT, TO SCHEDULE AN INSPECTION.</t>
  </si>
  <si>
    <t>SCOPE: ROOF RECOVER. AREA: 8900 SQ. FT. ROOF COVERING: OTHER. LOCATION: ROOF LEVEL. IL ROOFING CONTRACTOR LICENSE: 104017138.</t>
  </si>
  <si>
    <t>REPAIR OR IN-KIND REPLACEMENT OF 0 PLUMBING FIXTURES AS DESCRIBED IN PERMIT APPLICATION.  REPAIR OR IN-KIND REPLACEMENT OF HOT WATER HEATER(S).  LOCATIONS: 1 RESIDENTIAL UNIT(S), 0 NON-RESIDENTIAL UNIT(S), BASEMENT.</t>
  </si>
  <si>
    <t>LINE VOLTAGE ELECTRICAL WORK. NEW PERMANENT 400 AMP SERVICE DISCONNECTING MEANS WITH 110 CIRCUITS. RECEPTACLE OUTLETS: 1 . LIGHTING OUTLETS: 0. SPECIFIC LOCATION: BASEMENT AND OUTSIDE. | SPECIAL CONDITION: * PLEASE PROVIDE LOAD CALCULATIONS AS PER CEC 2018 215.5</t>
  </si>
  <si>
    <t>REPAIR/REPLACEMENT AFFECTING 2 SYSTEMS :   1 OTHER AIR HANDLING EQUIPMENT(BASEMENT, MITSUBISHI SVZ-AP36NL)  1 OTHER COOLING EQUIPMENT(BACKYARD, MITSUBISHI MXZ-SM48NLHZ) . ELECTRICAL WORK UNDER THIS PERMIT = NO . LOCATIONS: 1 RESIDENTIAL UNIT(S), 0 NON-RESIDENTIAL UNIT(S), EXTERIOR WORK,  BASEMENT AND BACKYARD.</t>
  </si>
  <si>
    <t>LINE VOLTAGE ELECTRICAL WORK. REPAIR OR ALTER DEVICES ON EXISTING CIRCUITS. RECEPTACLE OUTLETS: 2 . LIGHTING OUTLETS: 0. SPECIFIC LOCATION: BASEMENT. | SPECIAL CONDITION: SEE RENOVATION PERMIT NO 101061844</t>
  </si>
  <si>
    <t>LINE VOLTAGE ELECTRICAL WORK. NEW PERMANENT 200 AMP SERVICE DISCONNECTING MEANS WITH 7 CIRCUITS. RECEPTACLE OUTLETS: 7 . LIGHTING OUTLETS: 0. SPECIFIC LOCATION: BASEMENT AND BACKYARD.</t>
  </si>
  <si>
    <t>SCOPE: NONSTRUCTURAL INTERIOR REFRESH TO REPLACE WALLS, TILES, CEILING GRID, LIGHTS AND PLUMBING FIXTURES AT EXISTING DUNKIN DONUTS. LOCATIONS: 0 RESIDENTIAL UNIT(S), 1 NON-RESIDENTIAL UNIT(S), INTERIOR</t>
  </si>
  <si>
    <t>IN-KIND REPLACEMENT OF EXTERIOR WINDOWS AND DOORS IN EXISTING OPENINGS. REPLACEMENT WINDOWS: 1; REPLACEMENT SKYLIGHTS: 0; REPLACEMENT DOORS: 0. AFFECTS: 1 RESIDENTIAL UNIT(S), 0 NON-RESIDENTIAL UNIT(S), LOCATION: GARAGE. | SPECIAL CONDITION: NO WINDOW REPLACEMENT ON FRONT FAÇADE.</t>
  </si>
  <si>
    <t>LINE VOLTAGE ELECTRICAL WORK. NEW PERMANENT 200 AMP SERVICE DISCONNECTING MEANS WITH 1 CIRCUITS. RECEPTACLE OUTLETS: 1 . LIGHTING OUTLETS: 0. SPECIFIC LOCATION: OUTSIDE AND IN THE BASEMENT.</t>
  </si>
  <si>
    <t>TUCKPOINTING AND UNIT MASONRY REPAIR / REPLACEMENT: 650 SQ. FT., LINTEL QTY. 0, MAX. LENGTH 0. LOCATION: NORTH WEST COURTYARD PARAPET WALL.</t>
  </si>
  <si>
    <t>INSTALL SOLAR PANELS ON ROOF OF PRINCIPAL BUILDING. ROOF TYPE: SLOPED (2:12 TO 5:12). INVERTER OUTPUT: 10 KW. ARRAY OUTPUT: 12.3 KW.   INCLUDES 13.5 KWH ENERGY STORAGE SYSTEM.  LOCATION: ROOF PLANES OF HOME. ICC DISTRIBUTED GENERATION INSTALLER CERT. #18-0817. | SPECIAL CONDITION: * NEC REFERENCES TO BE OMITTED FROM DRAWINGS, ALL GENERAL ELECTRICAL NOTES SHALL REFERENCE CEC 2018. * REFER TO ELECTRICAL PERMIT B200436770.* ALL EQUIPMENT, CONNECTORS, RACEWAYS, TAPS, MUST BE LISTED AND LABELED FOR USE.</t>
  </si>
  <si>
    <t>PURPOSE: NEW/REPLACEMENT INSTALLATION. WOOD FENCE - 6'-0' ' (HEIGHT) X 96'-0' ' (LENGTH). LOCATION: FENCE ON EAST SIDE OF PROPERTY. BACK YARD..</t>
  </si>
  <si>
    <t>LINE VOLTAGE ELECTRICAL WORK. NEW PERMANENT 200 AMP SERVICE DISCONNECTING MEANS WITH 27 CIRCUITS. RECEPTACLE OUTLETS: 1 . LIGHTING OUTLETS: 1. SPECIFIC LOCATION: BASEMENT, BACK FACADE.</t>
  </si>
  <si>
    <t>LINE VOLTAGE ELECTRICAL WORK. NEW PERMANENT 100 AMP SERVICE DISCONNECTING MEANS WITH 1 CIRCUITS. RECEPTACLE OUTLETS: 1 . LIGHTING OUTLETS: 1. SPECIFIC LOCATION: BASEMENT AND EXTERIOR.</t>
  </si>
  <si>
    <t>SCOPE: ROOF REPLACEMENT. AREA: 2900 SQ. FT. ROOF COVERING: ASPHALT SHINGLES. LOCATION: ROOF TOP. IL ROOFING CONTRACTOR LICENSE: 104020017.</t>
  </si>
  <si>
    <t>LINE VOLTAGE ELECTRICAL WORK. NEW PERMANENT 200 AMP SERVICE DISCONNECTING MEANS WITH 42 CIRCUITS. RECEPTACLE OUTLETS: 1 . LIGHTING OUTLETS: 0. SPECIFIC LOCATION: OUTSIDE ELECTRICAL METERS AND WIRES.</t>
  </si>
  <si>
    <t>PURPOSE: NEW/REPLACEMENT INSTALLATION. WOOD FENCE - 6'-0' ' (HEIGHT) X 80'-0' ' (LENGTH). LOCATION: BACKYARD.</t>
  </si>
  <si>
    <t>TUCKPOINTING AND UNIT MASONRY REPAIR / REPLACEMENT: 50 SQ. FT., LINTEL QTY. 1, MAX. LENGTH 6. LOCATION: FRONT YARD AND BACK YARD.</t>
  </si>
  <si>
    <t>SCOPE: NONSTRUCTURAL INTERIOR WORK: REPLACE DRYWALL. REPLACE PLUMBING FIXTURES AND ASSOCIATED PIPING. LOCATIONS: 1 RESIDENTIAL UNIT(S), 0 NON-RESIDENTIAL UNIT(S), 3RD FLOOR APARTMENT | SPECIAL CONDITION: NO EXTERIOR WORK OR WINDOW REPLACEMENT.</t>
  </si>
  <si>
    <t>TUCKPOINTING AND UNIT MASONRY REPAIR / REPLACEMENT: 100 SQ. FT., LINTEL QTY. 1, MAX. LENGTH 6. LOCATION: TUCKPOINTING , 1 LINTEL REPLACE - WEST.</t>
  </si>
  <si>
    <t>LINE VOLTAGE ELECTRICAL WORK. ADD 1 CIRCUITS TO EXISTING 100 AMP SERVICE DISCONNECTING MEANS. RECEPTACLE OUTLETS: 1 . LIGHTING OUTLETS: 0. ELECTRIC VEHICLE SUPPLY EQUIPMENT:1 SPACES. SPECIFIC LOCATION: GARAGE AND BASEMENT.</t>
  </si>
  <si>
    <t>LINE VOLTAGE ELECTRICAL WORK. REPAIR OR ALTER DEVICES ON EXISTING CIRCUITS. RECEPTACLE OUTLETS: 1 . LIGHTING OUTLETS: 1. SPECIFIC LOCATION: EXTERIOR AND INTERIOR.</t>
  </si>
  <si>
    <t>PURPOSE: NEW/REPLACEMENT INSTALLATION. WOOD FENCE - 6'-0' ' (HEIGHT) X 60'-0' ' (LENGTH). LOCATION: BACKYARD FENCE, EAST SIDE.</t>
  </si>
  <si>
    <t>REPAIR OR IN-KIND REPLACEMENT OF 0 PLUMBING FIXTURES AS DESCRIBED IN PERMIT APPLICATION.  INCLUDES REPAIR OR REPLACMENT OF PLUMBING PIPING.  INCLUDES REPAIR OR REPLACEMENT OF PLUMBING RISERS IN EXISTING CHASES.  LOCATIONS: 1 RESIDENTIAL UNIT(S), 0 NON-RESIDENTIAL UNIT(S), BASEMENT.</t>
  </si>
  <si>
    <t>LINE VOLTAGE ELECTRICAL WORK. NEW PERMANENT 100 AMP SERVICE DISCONNECTING MEANS WITH 30 CIRCUITS. RECEPTACLE OUTLETS: 1 . LIGHTING OUTLETS: 1. SPECIFIC LOCATION: BASEMENT.</t>
  </si>
  <si>
    <t>TUCKPOINTING AND UNIT MASONRY REPAIR / REPLACEMENT: 1000 SQ. FT., LINTEL QTY. 0, MAX. LENGTH 0. PARAPET REBUILDING: 60 SQ. FT. LOCATION: EXTERIOR BRICK WALLS.</t>
  </si>
  <si>
    <t>INSTALL SOLAR PANELS ON ROOF OF PRINCIPAL BUILDING. ROOF TYPE: SLOPED (2:12 TO 5:12). INVERTER OUTPUT: 11.5 KW. ARRAY OUTPUT: 6.075 KW.   INCLUDES 13.5 KWH ENERGY STORAGE SYSTEM.  LOCATION: ROOF OF HOUSE. ICC DISTRIBUTED GENERATION INSTALLER CERT. #19-0021. | SPECIAL CONDITION: * NEC REFERENCES TO BE OMITTED FROM DRAWINGS, ALL GENERAL ELECTRICAL NOTES SHALL REFERENCE CEC 2018. * PLEASE APPLY FOR ELECTRICAL PERMIT PRIOR TO SOLAR INSPECTION AND HAVE PRESENT ON DATE OF SOLAR INSPECTION OR RISK FAILURE AS PROPOSED WORK PER ELECTRICAL DRAWING.* ALL EQUIPMENT, CONNECTORS, RACEWAYS, TAPS, ETC... MUST BE LISTED AND LABELED FOR USE.</t>
  </si>
  <si>
    <t>CEDA WEATHERIZATION PROGRAM.  AIR SEAL   INSULATE ATTIC; INSULATE EXTERIOR WALLS; REPLACE (6) BATH EXHAUST FANS; REPLACE IN-UNIT LIGHTING FIXTURES; REPLACEMENTS TO BE ENERGY EFFICIENT FIXTURES.</t>
  </si>
  <si>
    <t>LINE VOLTAGE ELECTRICAL WORK. REPAIR OR ALTER DEVICES ON EXISTING CIRCUITS. RECEPTACLE OUTLETS: 10 . LIGHTING OUTLETS: 16. SPECIFIC LOCATION: AP # 1609.</t>
  </si>
  <si>
    <t>IN-KIND REPLACEMENT OF EXTERIOR WINDOWS AND DOORS IN EXISTING OPENINGS. REPLACEMENT WINDOWS: 5; REPLACEMENT SKYLIGHTS: 0; REPLACEMENT DOORS: 0. AFFECTS: 1 RESIDENTIAL UNIT(S), 0 NON-RESIDENTIAL UNIT(S), LOCATION: FRONT BEDROOMS &amp; LIVING ROOM. | SPECIAL CONDITION: THE PROPOSED CLAD-WOOD WINDOWS ARE APPROVED. THE DOUBLE-HUNG WINDOWS WITH THE DIVIDED LITE PATTERN TO MATCH THE PROVIDED ELEVATION DRAWING.</t>
  </si>
  <si>
    <t>LINE VOLTAGE ELECTRICAL WORK. ADD 1 CIRCUITS TO EXISTING 100 AMP SERVICE DISCONNECTING MEANS. RECEPTACLE OUTLETS: 1 . LIGHTING OUTLETS: 0. ELECTRIC VEHICLE SUPPLY EQUIPMENT:1 SPACES. SPECIFIC LOCATION: PARKING SPOT.</t>
  </si>
  <si>
    <t>REPAIR/REPLACEMENT AFFECTING 2 SYSTEMS :   1 OTHER COOLING EQUIPMENT(BACKYARD, MITSUBISHI SUZ-AK36NLHZ)  1 OTHER AIR HANDLING EQUIPMENT(BASEMENT, MITSUBISHI SVZ-AP36NL) . ELECTRICAL WORK UNDER THIS PERMIT = NO . LOCATIONS: 1 RESIDENTIAL UNIT(S), 0 NON-RESIDENTIAL UNIT(S), EXTERIOR WORK,  BASEMENT AND BACKYARD.</t>
  </si>
  <si>
    <t>TUCKPOINTING AND UNIT MASONRY REPAIR / REPLACEMENT: 550 SQ. FT., LINTEL QTY. 0, MAX. LENGTH 0. LOCATION: EXTERIOR MASONRY TUCKPOINTING.</t>
  </si>
  <si>
    <t>LINE VOLTAGE ELECTRICAL WORK. NEW PERMANENT 200 AMP SERVICE DISCONNECTING MEANS WITH 6 CIRCUITS. RECEPTACLE OUTLETS: 6 . LIGHTING OUTLETS: 0. SPECIFIC LOCATION: BACKYARD.</t>
  </si>
  <si>
    <t>REPAIR OR IN-KIND REPLACEMENT OF 3 PLUMBING FIXTURES AS DESCRIBED IN PERMIT APPLICATION.  INCLUDES REPAIR OR REPLACMENT OF PLUMBING PIPING.  LOCATIONS: 1 RESIDENTIAL UNIT(S), 0 NON-RESIDENTIAL UNIT(S), 1ST FLOOR ONLY.</t>
  </si>
  <si>
    <t>TUCKPOINTING AND UNIT MASONRY REPAIR / REPLACEMENT: 50 SQ. FT., LINTEL QTY. 0, MAX. LENGTH 0. LOCATION: EXTERIOR FACADE.</t>
  </si>
  <si>
    <t>PURPOSE: NEW/REPLACEMENT INSTALLATION. VINYL/PVC FENCE - 6'-0' ' (HEIGHT) X 97'-0' ' (LENGTH). LOCATION: REAR OF THE PROPERTY.</t>
  </si>
  <si>
    <t>REPAIR OR IN-KIND REPLACEMENT OF 60 PLUMBING FIXTURES AS DESCRIBED IN PERMIT APPLICATION.  INCLUDES REPAIR OR REPLACMENT OF PLUMBING PIPING.  INCLUDES REPAIR OR REPLACEMENT OF PLUMBING RISERS IN EXISTING CHASES.  LOCATIONS: 0 RESIDENTIAL UNIT(S), 0 NON-RESIDENTIAL UNIT(S), 4 INTERIOR COMMON AREAS, REPLACE EXISTING FLOOR DRAINS + P-TRAPS PER FLOOR.</t>
  </si>
  <si>
    <t>INSTALL SOLAR PANELS ON ROOF OF PRINCIPAL BUILDING. ROOF TYPE: SLOPED (2:12 TO 5:12). INVERTER OUTPUT: 10 KW. ARRAY OUTPUT: 9.02 KW.   INCLUDES 13.5 KWH ENERGY STORAGE SYSTEM.  LOCATION: ROOF PLANES OF HOME. ICC DISTRIBUTED GENERATION INSTALLER CERT. #18-0817. | SPECIAL CONDITION: * NEC REFERENCES TO BE OMITTED FROM DRAWINGS, ALL GENERAL ELECTRICAL NOTES SHALL REFERENCE CEC 2018. * REFER TO ELECTRICAL PERMIT B200437281.* ALL EQUIPMENT, CONNECTORS, RACEWAYS, TAPS, MUST BE LISTED AND LABELED FOR USE.</t>
  </si>
  <si>
    <t>LINE VOLTAGE ELECTRICAL WORK. ADD 10 CIRCUITS TO EXISTING 200 AMP SERVICE DISCONNECTING MEANS. RECEPTACLE OUTLETS: 10 . LIGHTING OUTLETS: 0. ELECTRIC VEHICLE SUPPLY EQUIPMENT:10 SPACES. SPECIFIC LOCATION: PARKING GARAGE EV SPOTS.</t>
  </si>
  <si>
    <t>TUCKPOINTING AND UNIT MASONRY REPAIR / REPLACEMENT: 250 SQ. FT., LINTEL QTY. 0, MAX. LENGTH 0. LOCATION: NEAR ROOF.</t>
  </si>
  <si>
    <t>PURPOSE: LEGALIZE UNPERMITTED WORK. WOOD FENCE - 6'-0' ' (HEIGHT) X 52'-0' ' (LENGTH). LOCATION: BACKYARD.</t>
  </si>
  <si>
    <t>LINE VOLTAGE ELECTRICAL WORK. NEW PERMANENT 200 AMP SERVICE DISCONNECTING MEANS WITH 4 CIRCUITS. RECEPTACLE OUTLETS: 4 . LIGHTING OUTLETS: 0. SPECIFIC LOCATION: BACKYARD.</t>
  </si>
  <si>
    <t>SCOPE: ROOF REPLACEMENT. AREA: 6000 SQ. FT. ROOF COVERING: OTHER. LOCATION: ROOF TOP. IL ROOFING CONTRACTOR LICENSE: 104000268.</t>
  </si>
  <si>
    <t>NEW DETACHED WOOD FRAME GARAGE. DIMENSIONS AND SETBACKS PER APPLICATION. BUILDING OUTSIDE DIMENSIONS: 20'-0' ' X30'-0' '. GABLE ROOF HEIGHT TO PEAK: 15'-0' '.</t>
  </si>
  <si>
    <t>TUCKPOINTING AND UNIT MASONRY REPAIR / REPLACEMENT: 250 SQ. FT., LINTEL QTY. 0, MAX. LENGTH 0. LOCATION: NORTH, SOUTH, &amp; WEST FACADES.</t>
  </si>
  <si>
    <t>PARAPET REBUILDING: 150 SQ. FT. LOCATION: EAST FACADE.</t>
  </si>
  <si>
    <t>LINE VOLTAGE ELECTRICAL WORK. NEW PERMANENT 200 AMP SERVICE DISCONNECTING MEANS WITH 1 CIRCUITS. RECEPTACLE OUTLETS: 1 . LIGHTING OUTLETS: 0. SPECIFIC LOCATION: BASEMENT AND EXTERIOR.</t>
  </si>
  <si>
    <t>WRECK AND REMOVE DETACHED FRAME GARAGE. LOCATIONS: 1 RESIDENTIAL UNIT(S), 0 NON-RESIDENTIAL UNIT(S), EXTERIOR WORK, REAR GARAGE.</t>
  </si>
  <si>
    <t>REPAIR OR IN-KIND REPLACEMENT OF 4 PLUMBING FIXTURES AS DESCRIBED IN PERMIT APPLICATION.  LOCATIONS: 1 RESIDENTIAL UNIT(S), 0 NON-RESIDENTIAL UNIT(S), AROUND THE PERIMETER OF THE PROPERTY.</t>
  </si>
  <si>
    <t>LINE VOLTAGE ELECTRICAL WORK. NEW PERMANENT 400 AMP SERVICE DISCONNECTING MEANS WITH 60 CIRCUITS. RECEPTACLE OUTLETS: 30 . LIGHTING OUTLETS: 20. SPECIFIC LOCATION: BASEMENT COMMONS, APT 1-6  HALLWAYS.</t>
  </si>
  <si>
    <t>LINE VOLTAGE ELECTRICAL WORK. REPAIR OR ALTER DEVICES ON EXISTING CIRCUITS. RECEPTACLE OUTLETS: 1 . LIGHTING OUTLETS: 1. SPECIFIC LOCATION: TOP OF BILLBOARD.</t>
  </si>
  <si>
    <t>ALTERATION OF EXISTING COMMUNICATION EQUIPMENT.  ALTERATION OF 1 BOXES AND EQUIPMENT ON 1 TOWERS / STRUCTURES.  LOCATION: ON TOWER AND WITHIN COMPOUND.</t>
  </si>
  <si>
    <t>IN-KIND REPLACEMENT OF EXTERIOR WINDOWS AND DOORS IN EXISTING OPENINGS. REPLACEMENT WINDOWS: 29; REPLACEMENT SKYLIGHTS: 0; REPLACEMENT DOORS: 8. AFFECTS: 2 RESIDENTIAL UNIT(S), 0 NON-RESIDENTIAL UNIT(S), LOCATION: 1&amp;2ND FLOOR.</t>
  </si>
  <si>
    <t>SCOPE: ROOF REPLACEMENT. AREA: 11000 SQ. FT. ROOF COVERING: OTHER. LOCATION: WORK DONE ON THE ROOF. IL ROOFING CONTRACTOR LICENSE: 104000191.</t>
  </si>
  <si>
    <t>CONCRETE MASONRY REPAIR / REPLACEMNT: 75SQ. FT., EXCAVATION = . LOCATION: SOUTH ELEVATION.</t>
  </si>
  <si>
    <t>TUCKPOINTING AND UNIT MASONRY REPAIR / REPLACEMENT: 75 SQ. FT., LINTEL QTY. 10, MAX. LENGTH 4. PARAPET REBUILDING: 720 SQ. FT. LOCATION: PARAPET WALL AND COURTYARD WINDOWS/LINTELS.</t>
  </si>
  <si>
    <t>INSTALL SOLAR PANELS ON ROOF OF PRINCIPAL BUILDING. ROOF TYPE: SLOPED (2:12 TO 5:12). INVERTER OUTPUT: 4.48 KW. ARRAY OUTPUT: 5.95 KW.   INCLUDES 5 KWH ENERGY STORAGE SYSTEM.  LOCATION: ROOFING. ICC DISTRIBUTED GENERATION INSTALLER CERT. #25-0056. | SPECIAL CONDITION: * NEC REFERENCES TO BE OMITTED FROM DRAWINGS, ALL GENERAL ELECTRICAL NOTES SHALL REFERENCE CEC 2018. * ALL EQUIPMENT, CONNECTORS, RACEWAYS, TAPS, MUST BE LISTED AND LABELED FOR USE.</t>
  </si>
  <si>
    <t>LINE VOLTAGE ELECTRICAL WORK. NEW PERMANENT 100 AMP SERVICE DISCONNECTING MEANS WITH 20 CIRCUITS. RECEPTACLE OUTLETS: 5 . LIGHTING OUTLETS: 5. SPECIFIC LOCATION: BASEMENT.</t>
  </si>
  <si>
    <t>LINE VOLTAGE ELECTRICAL WORK. NEW PERMANENT 200 AMP SERVICE DISCONNECTING MEANS WITH 1 CIRCUITS. RECEPTACLE OUTLETS: 1 . LIGHTING OUTLETS: 0. 13.5 KWH LITHIUM ION ENERGY STORAGE SYSTEM. SPECIFIC LOCATION: EXTERIOR, MAIN PANEL, SERVICE CONDUCTOR, METER.</t>
  </si>
  <si>
    <t>TUCKPOINTING AND UNIT MASONRY REPAIR / REPLACEMENT: 1500 SQ. FT., LINTEL QTY. 0, MAX. LENGTH 0. LOCATION: TUCKPOINT ON NW ELEVATIONS.</t>
  </si>
  <si>
    <t>INSTALL SOLAR PANELS ON ROOF OF ACCESSORY BUILDING. ROOF TYPE: SLOPED (2:12 TO 5:12). INVERTER OUTPUT: 10 KW. ARRAY OUTPUT: 6.15 KW.   INCLUDES 13.5 KWH ENERGY STORAGE SYSTEM.  LOCATION: ROOF PLANES OF DETACHED STRUCTURE. ICC DISTRIBUTED GENERATION INSTALLER CERT. #18-0817. | SPECIAL CONDITION: * NEC REFERENCES TO BE OMITTED FROM DRAWINGS, ALL GENERAL ELECTRICAL NOTES SHALL REFERENCE CEC 2018. * UNDERGROUND RACEWAY TO BE INSPECTED BY AHJ PRIOR TO COVERING. * REFER TO ELECTRICAL PERMIT B200437639.* ALL EQUIPMENT, CONNECTORS, RACEWAYS, TAPS, MUST BE LISTED AND LABELED FOR USE.</t>
  </si>
  <si>
    <t>LINE VOLTAGE ELECTRICAL WORK. NEW PERMANENT 100 AMP SERVICE DISCONNECTING MEANS WITH 1 CIRCUITS. RECEPTACLE OUTLETS: 1 . LIGHTING OUTLETS: 0. SPECIFIC LOCATION: BAASEMENT AND EXTERIOR.</t>
  </si>
  <si>
    <t>TUCKPOINTING AND UNIT MASONRY REPAIR / REPLACEMENT: 500 SQ. FT., LINTEL QTY. 0, MAX. LENGTH 0. PARAPET REBUILDING: 75 SQ. FT. LOCATION: FRONT ELEVATION.</t>
  </si>
  <si>
    <t>LINE VOLTAGE ELECTRICAL WORK. NEW PERMANENT 200 AMP SERVICE DISCONNECTING MEANS WITH 1 CIRCUITS. RECEPTACLE OUTLETS: 1 . LIGHTING OUTLETS: 0. ELECTRIC VEHICLE SUPPLY EQUIPMENT:1 SPACES. 13.5 KWH LITHIUM ION ENERGY STORAGE SYSTEM. SPECIFIC LOCATION: EXTERIOR WALL, EV CHARGER, METER.</t>
  </si>
  <si>
    <t>LINE VOLTAGE ELECTRICAL WORK. NEW PERMANENT 225 AMP SERVICE DISCONNECTING MEANS WITH 1 CIRCUITS. RECEPTACLE OUTLETS: 1 . LIGHTING OUTLETS: 0. 13.5 KWH LITHIUM ION ENERGY STORAGE SYSTEM. SPECIFIC LOCATION: EXTERIOR WALL.</t>
  </si>
  <si>
    <t>PURPOSE: NEW/REPLACEMENT INSTALLATION. WOOD FENCE - 6'-0' ' (HEIGHT) X 20'-2' ' (LENGTH). LOCATION: BACKYARD, ABOUT 8 FEET FROM THE ALLEY.</t>
  </si>
  <si>
    <t>LINE VOLTAGE ELECTRICAL WORK. NEW PERMANENT 100 AMP SERVICE DISCONNECTING MEANS WITH 1 CIRCUITS. RECEPTACLE OUTLETS: 1 . LIGHTING OUTLETS: 0. SPECIFIC LOCATION: BASEMENT AND EXTERIOR.</t>
  </si>
  <si>
    <t>TUCKPOINTING AND UNIT MASONRY REPAIR / REPLACEMENT: 900 SQ. FT., LINTEL QTY. 0, MAX. LENGTH 0. LOCATION: WEST AND EAST ELEVATIONS.</t>
  </si>
  <si>
    <t>NEW DETACHED WOOD FRAME GARAGE. DIMENSIONS AND SETBACKS PER APPLICATION. BUILDING OUTSIDE DIMENSIONS: 21'-0' ' X28'-0' '. HIP ROOF HEIGHT TO PEAK: 15'-0' '.</t>
  </si>
  <si>
    <t>PURPOSE: NEW/REPLACEMENT INSTALLATION. WOOD FENCE - 6'-0' ' (HEIGHT) X 35'-0' ' (LENGTH). LOCATION: BACKYARD.</t>
  </si>
  <si>
    <t>TUCKPOINTING AND UNIT MASONRY REPAIR / REPLACEMENT: 200 SQ. FT., LINTEL QTY. 0, MAX. LENGTH 0. LOCATION: PARAPET.</t>
  </si>
  <si>
    <t>IN-KIND REPLACEMENT OF EXTERIOR WINDOWS AND DOORS IN EXISTING OPENINGS. REPLACEMENT WINDOWS: 18; REPLACEMENT SKYLIGHTS: 0; REPLACEMENT DOORS: 4. AFFECTS: 2 RESIDENTIAL UNIT(S), 0 NON-RESIDENTIAL UNIT(S), 1 INTERIOR COMMON AREAS, LOCATION: REPLACE 4 EXT.DOORS 18 WINDOWS.</t>
  </si>
  <si>
    <t>TUCKPOINTING AND UNIT MASONRY REPAIR / REPLACEMENT: 450 SQ. FT., LINTEL QTY. 3, MAX. LENGTH 4. LOCATION: NORTH ELEVATION AND EAST ELEVAION.</t>
  </si>
  <si>
    <t>NEW DETACHED WOOD FRAME GARAGE. DIMENSIONS AND SETBACKS PER APPLICATION. BUILDING OUTSIDE DIMENSIONS: 22'-0' ' X24'-0' '. HIP ROOF HEIGHT TO PEAK: 13'-0' '.</t>
  </si>
  <si>
    <t>NEW DETACHED WOOD FRAME GARAGE. DIMENSIONS AND SETBACKS PER APPLICATION. BUILDING OUTSIDE DIMENSIONS: 22'-0' ' X22'-0' '. HIP ROOF HEIGHT TO PEAK: 15'-0' '.</t>
  </si>
  <si>
    <t>LINE VOLTAGE ELECTRICAL WORK. NEW PERMANENT 100 AMP SERVICE DISCONNECTING MEANS WITH 10 CIRCUITS. RECEPTACLE OUTLETS: 1 . LIGHTING OUTLETS: 1. SPECIFIC LOCATION: BASEMENT, 1ST FLOOR, 2ND FLOOR.</t>
  </si>
  <si>
    <t>WRECK AND REMOVE DETACHED BRICK GARAGE. LOCATIONS: 1 RESIDENTIAL UNIT(S), 0 NON-RESIDENTIAL UNIT(S), EXTERIOR WORK, GARAGE.</t>
  </si>
  <si>
    <t>REPAIR OR IN-KIND REPLACEMENT OF 2 PLUMBING FIXTURES AS DESCRIBED IN PERMIT APPLICATION.  INCLUDES REPAIR OR REPLACMENT OF PLUMBING PIPING.  LOCATIONS: 1 RESIDENTIAL UNIT(S), 0 NON-RESIDENTIAL UNIT(S), UNIT 5 KITCHEN.</t>
  </si>
  <si>
    <t>LINE VOLTAGE ELECTRICAL WORK. REPAIR OR ALTER DEVICES ON EXISTING CIRCUITS. RECEPTACLE OUTLETS: 1 . LIGHTING OUTLETS: 1. SPECIFIC LOCATION: CHANGE OF ELECTRICAL CONTRACTOR.</t>
  </si>
  <si>
    <t>LINE VOLTAGE ELECTRICAL WORK. OUTDOOR LIGHTING FOR 600 SQUARE FEET. RECEPTACLE OUTLETS: 1 . LIGHTING OUTLETS: 1. SPECIFIC LOCATION: RUN EMT AND LIGHTS UNDER CANOPY.</t>
  </si>
  <si>
    <t>LINE VOLTAGE ELECTRICAL WORK. NEW PERMANENT 200 AMP SERVICE DISCONNECTING MEANS WITH 5 CIRCUITS. RECEPTACLE OUTLETS: 5 . LIGHTING OUTLETS: 0. SPECIFIC LOCATION: BASEMENT.</t>
  </si>
  <si>
    <t>LINE VOLTAGE ELECTRICAL WORK. NEW PERMANENT 100 AMP SERVICE DISCONNECTING MEANS WITH 1 CIRCUITS. RECEPTACLE OUTLETS: 1 . LIGHTING OUTLETS: 0. SPECIFIC LOCATION: METER SOCKET ON BACK SIDE OF HOUSE.</t>
  </si>
  <si>
    <t>INSTALL SOLAR PANELS ON ROOF OF PRINCIPAL BUILDING. ROOF TYPE: SLOPED (2:12 TO 5:12). INVERTER OUTPUT: 10 KW. ARRAY OUTPUT: 6.97 KW.   INCLUDES 13.5 KWH ENERGY STORAGE SYSTEM.  LOCATION: ROOF PLANES OF HOME. ICC DISTRIBUTED GENERATION INSTALLER CERT. #18-0817. | SPECIAL CONDITION: * NEC REFERENCES TO BE OMITTED FROM DRAWINGS, ALL GENERAL ELECTRICAL NOTES SHALL REFERENCE CEC 2018. * REFER TO ELECTRICAL PERMIT B200437120.* ALL EQUIPMENT, CONNECTORS, RACEWAYS, TAPS, MUST BE LISTED AND LABELED FOR USE.</t>
  </si>
  <si>
    <t>INSTALL SOLAR PANELS ON ROOF OF PRINCIPAL BUILDING. ROOF TYPE: SLOPED (2:12 TO 5:12). INVERTER OUTPUT: 10 KW. ARRAY OUTPUT: 11.89 KW.   INCLUDES 13.5 KWH ENERGY STORAGE SYSTEM.  LOCATION: ROOF PLANES OF HOME. ICC DISTRIBUTED GENERATION INSTALLER CERT. #18-0817. | SPECIAL CONDITION: * NEC REFERENCES TO BE OMITTED FROM DRAWINGS, ALL GENERAL ELECTRICAL NOTES SHALL REFERENCE CEC 2018. * REFER TO ELECTRICAL PERMIT B200437508.* ALL EQUIPMENT, CONNECTORS, RACEWAYS, TAPS, MUST BE LISTED AND LABELED FOR USE.</t>
  </si>
  <si>
    <t>LOW VOLTAGE/COMMUNICATION ELECTRICAL WORK. INSTALL OTHER. INSTALL DATA/VIDEO. SPECIFIC LOCATION: MAIN AREA.</t>
  </si>
  <si>
    <t>SCOPE: ROOF REPLACEMENT. AREA: 3090 SQ. FT. ROOF COVERING: MINERAL - SURFACED ROLL ROOFING. LOCATION: TOP OF THE BUILDING-ROOF. IL ROOFING CONTRACTOR LICENSE: 104018798.</t>
  </si>
  <si>
    <t>PURPOSE: NEW/REPLACEMENT INSTALLATION. WOOD FENCE - 6'-0' ' (HEIGHT) X 52'-0' ' (LENGTH). LOCATION: FRONT AND REAR SIDE.</t>
  </si>
  <si>
    <t>INSTALL SOLAR PANELS ON ROOF OF PRINCIPAL BUILDING. ROOF TYPE: SLOPED (2:12 TO 5:12). INVERTER OUTPUT: 10 KW. ARRAY OUTPUT: 5.74 KW.   INCLUDES 13.5 KWH ENERGY STORAGE SYSTEM.  LOCATION: ROOF PLANES OF HOME. ICC DISTRIBUTED GENERATION INSTALLER CERT. #18-0817. | SPECIAL CONDITION: * NEC REFERENCES TO BE OMITTED FROM DRAWINGS, ALL GENERAL ELECTRICAL NOTES SHALL REFERENCE CEC 2018. * REFER TO ELECTRICAL PERMIT B200437711.* ALL EQUIPMENT, CONNECTORS, RACEWAYS, TAPS,  MUST BE LISTED AND LABELED FOR USE.</t>
  </si>
  <si>
    <t>LOW VOLTAGE/COMMUNICATION ELECTRICAL WORK. INSTALL OTHER. SPECIFIC LOCATION: TERMINAL #5.</t>
  </si>
  <si>
    <t>LINE VOLTAGE ELECTRICAL WORK. NEW PERMANENT 100 AMP SERVICE DISCONNECTING MEANS WITH 30 CIRCUITS. RECEPTACLE OUTLETS: 1 . LIGHTING OUTLETS: 0. SPECIFIC LOCATION: BASEMENT.</t>
  </si>
  <si>
    <t>NO PIN FOUND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</si>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</sst>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0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</v>
      </c>
      <c r="B2" t="s">
        <v>23</v>
      </c>
      <c r="C2" t="s">
        <v>204</v>
      </c>
      <c r="D2" t="s">
        <v>403</v>
      </c>
      <c r="I2">
        <v>1200</v>
      </c>
      <c r="K2" t="s">
        <v>426</v>
      </c>
      <c r="L2">
        <f>HYPERLINK("https://maps.cookcountyil.gov/cookviewer/?search=8426 S JUSTINE ST", "8426 S JUSTINE ST")</f>
        <v>0</v>
      </c>
      <c r="N2" t="s">
        <v>606</v>
      </c>
      <c r="P2" t="s">
        <v>607</v>
      </c>
      <c r="Q2" t="s">
        <v>785</v>
      </c>
      <c r="U2">
        <f>HYPERLINK("https://www.cookcountyassessoril.gov/pin/20323070290000", "20-32-307-029-0000")</f>
        <v>0</v>
      </c>
      <c r="V2" t="s">
        <v>968</v>
      </c>
    </row>
    <row r="3" spans="1:23">
      <c r="A3">
        <v>2</v>
      </c>
      <c r="B3" t="s">
        <v>24</v>
      </c>
      <c r="C3" t="s">
        <v>205</v>
      </c>
      <c r="D3" t="s">
        <v>404</v>
      </c>
      <c r="I3">
        <v>3500</v>
      </c>
      <c r="K3" t="s">
        <v>427</v>
      </c>
      <c r="L3">
        <f>HYPERLINK("https://maps.cookcountyil.gov/cookviewer/?search=225 W WASHINGTON ST", "225 W WASHINGTON ST")</f>
        <v>0</v>
      </c>
      <c r="N3" t="s">
        <v>606</v>
      </c>
      <c r="P3" t="s">
        <v>608</v>
      </c>
      <c r="Q3" t="s">
        <v>786</v>
      </c>
      <c r="U3">
        <f>HYPERLINK("https://www.cookcountyassessoril.gov/pin/17094550090000", "17-09-455-009-0000")</f>
        <v>0</v>
      </c>
      <c r="V3" t="s">
        <v>968</v>
      </c>
    </row>
    <row r="4" spans="1:23">
      <c r="A4">
        <v>3</v>
      </c>
      <c r="B4" t="s">
        <v>25</v>
      </c>
      <c r="C4" t="s">
        <v>206</v>
      </c>
      <c r="D4" t="s">
        <v>403</v>
      </c>
      <c r="I4">
        <v>100000</v>
      </c>
      <c r="K4" t="s">
        <v>428</v>
      </c>
      <c r="L4">
        <f>HYPERLINK("https://maps.cookcountyil.gov/cookviewer/?search=1855 W 47TH ST", "1855 W 47TH ST")</f>
        <v>0</v>
      </c>
      <c r="N4" t="s">
        <v>606</v>
      </c>
      <c r="P4" t="s">
        <v>609</v>
      </c>
      <c r="Q4" t="s">
        <v>787</v>
      </c>
      <c r="U4" t="s">
        <v>967</v>
      </c>
      <c r="V4" t="s">
        <v>969</v>
      </c>
    </row>
    <row r="5" spans="1:23">
      <c r="A5">
        <v>4</v>
      </c>
      <c r="B5" t="s">
        <v>26</v>
      </c>
      <c r="C5" t="s">
        <v>207</v>
      </c>
      <c r="D5" t="s">
        <v>405</v>
      </c>
      <c r="I5">
        <v>14348</v>
      </c>
      <c r="K5" t="s">
        <v>429</v>
      </c>
      <c r="L5">
        <f>HYPERLINK("https://maps.cookcountyil.gov/cookviewer/?search=10653 S EWING AVE", "10653 S EWING AVE")</f>
        <v>0</v>
      </c>
      <c r="N5" t="s">
        <v>606</v>
      </c>
      <c r="P5" t="s">
        <v>610</v>
      </c>
      <c r="Q5" t="s">
        <v>788</v>
      </c>
      <c r="U5">
        <f>HYPERLINK("https://www.cookcountyassessoril.gov/pin/26171040210000", "26-17-104-021-0000")</f>
        <v>0</v>
      </c>
      <c r="V5" t="s">
        <v>969</v>
      </c>
    </row>
    <row r="6" spans="1:23">
      <c r="A6">
        <v>5</v>
      </c>
      <c r="B6" t="s">
        <v>27</v>
      </c>
      <c r="C6" t="s">
        <v>208</v>
      </c>
      <c r="D6" t="s">
        <v>406</v>
      </c>
      <c r="I6">
        <v>2000</v>
      </c>
      <c r="K6" t="s">
        <v>430</v>
      </c>
      <c r="L6">
        <f>HYPERLINK("https://maps.cookcountyil.gov/cookviewer/?search=4715 W MONROE ST", "4715 W MONROE ST")</f>
        <v>0</v>
      </c>
      <c r="N6" t="s">
        <v>606</v>
      </c>
      <c r="P6" t="s">
        <v>611</v>
      </c>
      <c r="Q6" t="s">
        <v>789</v>
      </c>
      <c r="U6">
        <f>HYPERLINK("https://www.cookcountyassessoril.gov/pin/16151040160000", "16-15-104-016-0000")</f>
        <v>0</v>
      </c>
      <c r="V6" t="s">
        <v>968</v>
      </c>
    </row>
    <row r="7" spans="1:23">
      <c r="A7">
        <v>6</v>
      </c>
      <c r="B7" t="s">
        <v>28</v>
      </c>
      <c r="C7" t="s">
        <v>209</v>
      </c>
      <c r="D7" t="s">
        <v>404</v>
      </c>
      <c r="I7">
        <v>6000</v>
      </c>
      <c r="K7" t="s">
        <v>431</v>
      </c>
      <c r="L7">
        <f>HYPERLINK("https://maps.cookcountyil.gov/cookviewer/?search=5900 W 64TH PL", "5900 W 64TH PL")</f>
        <v>0</v>
      </c>
      <c r="N7" t="s">
        <v>606</v>
      </c>
      <c r="P7" t="s">
        <v>612</v>
      </c>
      <c r="Q7" t="s">
        <v>790</v>
      </c>
      <c r="U7">
        <f>HYPERLINK("https://www.cookcountyassessoril.gov/pin/19202080470000", "19-20-208-047-0000")</f>
        <v>0</v>
      </c>
      <c r="V7" t="s">
        <v>969</v>
      </c>
    </row>
    <row r="8" spans="1:23">
      <c r="A8">
        <v>7</v>
      </c>
      <c r="B8" t="s">
        <v>26</v>
      </c>
      <c r="C8" t="s">
        <v>210</v>
      </c>
      <c r="D8" t="s">
        <v>405</v>
      </c>
      <c r="I8">
        <v>420</v>
      </c>
      <c r="K8" t="s">
        <v>429</v>
      </c>
      <c r="L8">
        <f>HYPERLINK("https://maps.cookcountyil.gov/cookviewer/?search=10653 S EWING AVE", "10653 S EWING AVE")</f>
        <v>0</v>
      </c>
      <c r="N8" t="s">
        <v>606</v>
      </c>
      <c r="P8" t="s">
        <v>610</v>
      </c>
      <c r="Q8" t="s">
        <v>791</v>
      </c>
      <c r="U8">
        <f>HYPERLINK("https://www.cookcountyassessoril.gov/pin/26171040210000", "26-17-104-021-0000")</f>
        <v>0</v>
      </c>
      <c r="V8" t="s">
        <v>968</v>
      </c>
    </row>
    <row r="9" spans="1:23">
      <c r="A9">
        <v>8</v>
      </c>
      <c r="B9" t="s">
        <v>29</v>
      </c>
      <c r="C9" t="s">
        <v>211</v>
      </c>
      <c r="D9" t="s">
        <v>407</v>
      </c>
      <c r="I9">
        <v>8000</v>
      </c>
      <c r="K9" t="s">
        <v>432</v>
      </c>
      <c r="L9">
        <f>HYPERLINK("https://maps.cookcountyil.gov/cookviewer/?search=3400 N CICERO AVE", "3400 N CICERO AVE")</f>
        <v>0</v>
      </c>
      <c r="N9" t="s">
        <v>606</v>
      </c>
      <c r="P9" t="s">
        <v>613</v>
      </c>
      <c r="Q9" t="s">
        <v>792</v>
      </c>
      <c r="U9">
        <f>HYPERLINK("https://www.cookcountyassessoril.gov/pin/13214070740000", "13-21-407-074-0000")</f>
        <v>0</v>
      </c>
      <c r="V9" t="s">
        <v>968</v>
      </c>
    </row>
    <row r="10" spans="1:23">
      <c r="A10">
        <v>9</v>
      </c>
      <c r="B10" t="s">
        <v>30</v>
      </c>
      <c r="C10" t="s">
        <v>212</v>
      </c>
      <c r="D10" t="s">
        <v>408</v>
      </c>
      <c r="I10">
        <v>4000</v>
      </c>
      <c r="K10" t="s">
        <v>433</v>
      </c>
      <c r="L10">
        <f>HYPERLINK("https://maps.cookcountyil.gov/cookviewer/?search=8116 S FAIRFIELD AVE", "8116 S FAIRFIELD AVE")</f>
        <v>0</v>
      </c>
      <c r="N10" t="s">
        <v>606</v>
      </c>
      <c r="P10" t="s">
        <v>614</v>
      </c>
      <c r="Q10" t="s">
        <v>793</v>
      </c>
      <c r="U10">
        <f>HYPERLINK("https://www.cookcountyassessoril.gov/pin/19362160330000", "19-36-216-033-0000")</f>
        <v>0</v>
      </c>
      <c r="V10" t="s">
        <v>969</v>
      </c>
    </row>
    <row r="11" spans="1:23">
      <c r="A11">
        <v>10</v>
      </c>
      <c r="B11" t="s">
        <v>31</v>
      </c>
      <c r="C11" t="s">
        <v>213</v>
      </c>
      <c r="D11" t="s">
        <v>408</v>
      </c>
      <c r="I11">
        <v>7500</v>
      </c>
      <c r="K11" t="s">
        <v>434</v>
      </c>
      <c r="L11">
        <f>HYPERLINK("https://maps.cookcountyil.gov/cookviewer/?search=1 N FRANKLIN ST", "1 N FRANKLIN ST")</f>
        <v>0</v>
      </c>
      <c r="N11" t="s">
        <v>606</v>
      </c>
      <c r="P11" t="s">
        <v>615</v>
      </c>
      <c r="Q11" t="s">
        <v>794</v>
      </c>
      <c r="U11">
        <f>HYPERLINK("https://www.cookcountyassessoril.gov/pin/17094560010000", "17-09-456-001-0000"), =HYPERLINK("https://www.cookcountyassessoril.gov/pin/17094560020000", "17-09-456-002-0000")</f>
        <v>0</v>
      </c>
      <c r="V11" t="s">
        <v>968</v>
      </c>
    </row>
    <row r="12" spans="1:23">
      <c r="A12">
        <v>11</v>
      </c>
      <c r="B12" t="s">
        <v>32</v>
      </c>
      <c r="C12" t="s">
        <v>214</v>
      </c>
      <c r="D12" t="s">
        <v>409</v>
      </c>
      <c r="I12">
        <v>6000</v>
      </c>
      <c r="K12" t="s">
        <v>435</v>
      </c>
      <c r="L12">
        <f>HYPERLINK("https://maps.cookcountyil.gov/cookviewer/?search=2534 W 59TH ST", "2534 W 59TH ST")</f>
        <v>0</v>
      </c>
      <c r="N12" t="s">
        <v>606</v>
      </c>
      <c r="P12" t="s">
        <v>616</v>
      </c>
      <c r="Q12" t="s">
        <v>795</v>
      </c>
      <c r="U12">
        <f>HYPERLINK("https://www.cookcountyassessoril.gov/pin/19132240390000", "19-13-224-039-0000")</f>
        <v>0</v>
      </c>
      <c r="V12" t="s">
        <v>968</v>
      </c>
    </row>
    <row r="13" spans="1:23">
      <c r="A13">
        <v>12</v>
      </c>
      <c r="B13" t="s">
        <v>33</v>
      </c>
      <c r="C13" t="s">
        <v>215</v>
      </c>
      <c r="D13" t="s">
        <v>408</v>
      </c>
      <c r="I13">
        <v>5000</v>
      </c>
      <c r="K13" t="s">
        <v>436</v>
      </c>
      <c r="L13">
        <f>HYPERLINK("https://maps.cookcountyil.gov/cookviewer/?search=1715 N LONG AVE", "1715 N LONG AVE")</f>
        <v>0</v>
      </c>
      <c r="N13" t="s">
        <v>606</v>
      </c>
      <c r="P13" t="s">
        <v>617</v>
      </c>
      <c r="Q13" t="s">
        <v>796</v>
      </c>
      <c r="U13">
        <f>HYPERLINK("https://www.cookcountyassessoril.gov/pin/13333150160000", "13-33-315-016-0000")</f>
        <v>0</v>
      </c>
      <c r="V13" t="s">
        <v>968</v>
      </c>
    </row>
    <row r="14" spans="1:23">
      <c r="A14">
        <v>13</v>
      </c>
      <c r="B14" t="s">
        <v>34</v>
      </c>
      <c r="C14" t="s">
        <v>216</v>
      </c>
      <c r="D14" t="s">
        <v>404</v>
      </c>
      <c r="I14">
        <v>3900</v>
      </c>
      <c r="K14" t="s">
        <v>437</v>
      </c>
      <c r="L14">
        <f>HYPERLINK("https://maps.cookcountyil.gov/cookviewer/?search=740 E 82ND ST", "740 E 82ND ST")</f>
        <v>0</v>
      </c>
      <c r="N14" t="s">
        <v>606</v>
      </c>
      <c r="P14" t="s">
        <v>618</v>
      </c>
      <c r="Q14" t="s">
        <v>797</v>
      </c>
      <c r="U14">
        <f>HYPERLINK("https://www.cookcountyassessoril.gov/pin/20342230170000", "20-34-223-017-0000")</f>
        <v>0</v>
      </c>
      <c r="V14" t="s">
        <v>968</v>
      </c>
    </row>
    <row r="15" spans="1:23">
      <c r="A15">
        <v>14</v>
      </c>
      <c r="B15" t="s">
        <v>35</v>
      </c>
      <c r="C15" t="s">
        <v>217</v>
      </c>
      <c r="D15" t="s">
        <v>410</v>
      </c>
      <c r="I15">
        <v>1500</v>
      </c>
      <c r="K15" t="s">
        <v>438</v>
      </c>
      <c r="L15">
        <f>HYPERLINK("https://maps.cookcountyil.gov/cookviewer/?search=8359 S ABERDEEN ST", "8359 S ABERDEEN ST")</f>
        <v>0</v>
      </c>
      <c r="N15" t="s">
        <v>606</v>
      </c>
      <c r="P15" t="s">
        <v>619</v>
      </c>
      <c r="Q15" t="s">
        <v>798</v>
      </c>
      <c r="U15">
        <f>HYPERLINK("https://www.cookcountyassessoril.gov/pin/20324020190000", "20-32-402-019-0000")</f>
        <v>0</v>
      </c>
      <c r="V15" t="s">
        <v>968</v>
      </c>
    </row>
    <row r="16" spans="1:23">
      <c r="A16">
        <v>15</v>
      </c>
      <c r="B16" t="s">
        <v>36</v>
      </c>
      <c r="C16" t="s">
        <v>218</v>
      </c>
      <c r="D16" t="s">
        <v>408</v>
      </c>
      <c r="I16">
        <v>17000</v>
      </c>
      <c r="K16" t="s">
        <v>439</v>
      </c>
      <c r="L16">
        <f>HYPERLINK("https://maps.cookcountyil.gov/cookviewer/?search=2506 N RICHMOND ST", "2506 N RICHMOND ST")</f>
        <v>0</v>
      </c>
      <c r="N16" t="s">
        <v>606</v>
      </c>
      <c r="P16" t="s">
        <v>620</v>
      </c>
      <c r="Q16" t="s">
        <v>799</v>
      </c>
      <c r="U16">
        <f>HYPERLINK("https://www.cookcountyassessoril.gov/pin/13253160320000", "13-25-316-032-0000")</f>
        <v>0</v>
      </c>
      <c r="V16" t="s">
        <v>968</v>
      </c>
    </row>
    <row r="17" spans="1:22">
      <c r="A17">
        <v>16</v>
      </c>
      <c r="B17" t="s">
        <v>37</v>
      </c>
      <c r="C17" t="s">
        <v>219</v>
      </c>
      <c r="D17" t="s">
        <v>406</v>
      </c>
      <c r="I17">
        <v>3000</v>
      </c>
      <c r="K17" t="s">
        <v>440</v>
      </c>
      <c r="L17">
        <f>HYPERLINK("https://maps.cookcountyil.gov/cookviewer/?search=5607 S ADA ST", "5607 S ADA ST")</f>
        <v>0</v>
      </c>
      <c r="N17" t="s">
        <v>606</v>
      </c>
      <c r="P17" t="s">
        <v>621</v>
      </c>
      <c r="Q17" t="s">
        <v>800</v>
      </c>
      <c r="U17">
        <f>HYPERLINK("https://www.cookcountyassessoril.gov/pin/20171130030000", "20-17-113-003-0000")</f>
        <v>0</v>
      </c>
      <c r="V17" t="s">
        <v>968</v>
      </c>
    </row>
    <row r="18" spans="1:22">
      <c r="A18">
        <v>17</v>
      </c>
      <c r="B18" t="s">
        <v>38</v>
      </c>
      <c r="C18" t="s">
        <v>220</v>
      </c>
      <c r="D18" t="s">
        <v>411</v>
      </c>
      <c r="I18">
        <v>5400</v>
      </c>
      <c r="K18" t="s">
        <v>441</v>
      </c>
      <c r="L18">
        <f>HYPERLINK("https://maps.cookcountyil.gov/cookviewer/?search=6225 N HARDING AVE", "6225 N HARDING AVE")</f>
        <v>0</v>
      </c>
      <c r="N18" t="s">
        <v>606</v>
      </c>
      <c r="P18" t="s">
        <v>622</v>
      </c>
      <c r="Q18" t="s">
        <v>801</v>
      </c>
      <c r="U18">
        <f>HYPERLINK("https://www.cookcountyassessoril.gov/pin/13021080100000", "13-02-108-010-0000")</f>
        <v>0</v>
      </c>
      <c r="V18" t="s">
        <v>969</v>
      </c>
    </row>
    <row r="19" spans="1:22">
      <c r="A19">
        <v>18</v>
      </c>
      <c r="B19" t="s">
        <v>39</v>
      </c>
      <c r="C19" t="s">
        <v>221</v>
      </c>
      <c r="D19" t="s">
        <v>405</v>
      </c>
      <c r="I19">
        <v>18000</v>
      </c>
      <c r="K19" t="s">
        <v>442</v>
      </c>
      <c r="L19">
        <f>HYPERLINK("https://maps.cookcountyil.gov/cookviewer/?search=109 E OAK ST", "109 E OAK ST")</f>
        <v>0</v>
      </c>
      <c r="N19" t="s">
        <v>606</v>
      </c>
      <c r="P19" t="s">
        <v>623</v>
      </c>
      <c r="Q19" t="s">
        <v>802</v>
      </c>
      <c r="U19">
        <f>HYPERLINK("https://www.cookcountyassessoril.gov/pin/17032070220000", "17-03-207-022-0000")</f>
        <v>0</v>
      </c>
      <c r="V19" t="s">
        <v>969</v>
      </c>
    </row>
    <row r="20" spans="1:22">
      <c r="A20">
        <v>19</v>
      </c>
      <c r="B20" t="s">
        <v>40</v>
      </c>
      <c r="C20" t="s">
        <v>222</v>
      </c>
      <c r="D20" t="s">
        <v>405</v>
      </c>
      <c r="I20">
        <v>2000</v>
      </c>
      <c r="K20" t="s">
        <v>443</v>
      </c>
      <c r="L20">
        <f>HYPERLINK("https://maps.cookcountyil.gov/cookviewer/?search=3308 N NEENAH AVE", "3308 N NEENAH AVE")</f>
        <v>0</v>
      </c>
      <c r="N20" t="s">
        <v>606</v>
      </c>
      <c r="P20" t="s">
        <v>624</v>
      </c>
      <c r="Q20" t="s">
        <v>803</v>
      </c>
      <c r="U20">
        <f>HYPERLINK("https://www.cookcountyassessoril.gov/pin/13194220260000", "13-19-422-026-0000")</f>
        <v>0</v>
      </c>
      <c r="V20" t="s">
        <v>968</v>
      </c>
    </row>
    <row r="21" spans="1:22">
      <c r="A21">
        <v>20</v>
      </c>
      <c r="B21" t="s">
        <v>41</v>
      </c>
      <c r="C21" t="s">
        <v>223</v>
      </c>
      <c r="D21" t="s">
        <v>406</v>
      </c>
      <c r="I21">
        <v>11700</v>
      </c>
      <c r="K21" t="s">
        <v>444</v>
      </c>
      <c r="L21">
        <f>HYPERLINK("https://maps.cookcountyil.gov/cookviewer/?search=5442 W LELAND AVE", "5442 W LELAND AVE")</f>
        <v>0</v>
      </c>
      <c r="N21" t="s">
        <v>606</v>
      </c>
      <c r="P21" t="s">
        <v>625</v>
      </c>
      <c r="Q21" t="s">
        <v>804</v>
      </c>
      <c r="U21">
        <f>HYPERLINK("https://www.cookcountyassessoril.gov/pin/13161080190000", "13-16-108-019-0000")</f>
        <v>0</v>
      </c>
      <c r="V21" t="s">
        <v>968</v>
      </c>
    </row>
    <row r="22" spans="1:22">
      <c r="A22">
        <v>21</v>
      </c>
      <c r="B22" t="s">
        <v>42</v>
      </c>
      <c r="C22" t="s">
        <v>224</v>
      </c>
      <c r="D22" t="s">
        <v>405</v>
      </c>
      <c r="I22">
        <v>7550</v>
      </c>
      <c r="K22" t="s">
        <v>445</v>
      </c>
      <c r="L22">
        <f>HYPERLINK("https://maps.cookcountyil.gov/cookviewer/?search=1848 N SPRINGFIELD AVE", "1848 N SPRINGFIELD AVE")</f>
        <v>0</v>
      </c>
      <c r="N22" t="s">
        <v>606</v>
      </c>
      <c r="P22" t="s">
        <v>626</v>
      </c>
      <c r="Q22" t="s">
        <v>805</v>
      </c>
      <c r="U22">
        <f>HYPERLINK("https://www.cookcountyassessoril.gov/pin/13353080220000", "13-35-308-022-0000")</f>
        <v>0</v>
      </c>
      <c r="V22" t="s">
        <v>968</v>
      </c>
    </row>
    <row r="23" spans="1:22">
      <c r="A23">
        <v>22</v>
      </c>
      <c r="B23" t="s">
        <v>43</v>
      </c>
      <c r="C23" t="s">
        <v>225</v>
      </c>
      <c r="D23" t="s">
        <v>405</v>
      </c>
      <c r="I23">
        <v>5000</v>
      </c>
      <c r="K23" t="s">
        <v>446</v>
      </c>
      <c r="L23">
        <f>HYPERLINK("https://maps.cookcountyil.gov/cookviewer/?search=11244 S EMERALD AVE", "11244 S EMERALD AVE")</f>
        <v>0</v>
      </c>
      <c r="N23" t="s">
        <v>606</v>
      </c>
      <c r="P23" t="s">
        <v>627</v>
      </c>
      <c r="Q23" t="s">
        <v>806</v>
      </c>
      <c r="U23">
        <f>HYPERLINK("https://www.cookcountyassessoril.gov/pin/25211080310000", "25-21-108-031-0000")</f>
        <v>0</v>
      </c>
      <c r="V23" t="s">
        <v>968</v>
      </c>
    </row>
    <row r="24" spans="1:22">
      <c r="A24">
        <v>23</v>
      </c>
      <c r="B24" t="s">
        <v>44</v>
      </c>
      <c r="C24" t="s">
        <v>226</v>
      </c>
      <c r="D24" t="s">
        <v>404</v>
      </c>
      <c r="I24">
        <v>146080</v>
      </c>
      <c r="K24" t="s">
        <v>447</v>
      </c>
      <c r="L24">
        <f>HYPERLINK("https://maps.cookcountyil.gov/cookviewer/?search=1244 N CLYBOURN AVE", "1244 N CLYBOURN AVE")</f>
        <v>0</v>
      </c>
      <c r="N24" t="s">
        <v>606</v>
      </c>
      <c r="P24" t="s">
        <v>628</v>
      </c>
      <c r="Q24" t="s">
        <v>807</v>
      </c>
      <c r="U24" t="s">
        <v>967</v>
      </c>
      <c r="V24" t="s">
        <v>968</v>
      </c>
    </row>
    <row r="25" spans="1:22">
      <c r="A25">
        <v>24</v>
      </c>
      <c r="B25" t="s">
        <v>45</v>
      </c>
      <c r="C25" t="s">
        <v>227</v>
      </c>
      <c r="D25" t="s">
        <v>405</v>
      </c>
      <c r="I25">
        <v>5000</v>
      </c>
      <c r="K25" t="s">
        <v>448</v>
      </c>
      <c r="L25">
        <f>HYPERLINK("https://maps.cookcountyil.gov/cookviewer/?search=8130 S LANGLEY AVE", "8130 S LANGLEY AVE")</f>
        <v>0</v>
      </c>
      <c r="N25" t="s">
        <v>606</v>
      </c>
      <c r="P25" t="s">
        <v>629</v>
      </c>
      <c r="Q25" t="s">
        <v>808</v>
      </c>
      <c r="U25" t="s">
        <v>967</v>
      </c>
      <c r="V25" t="s">
        <v>968</v>
      </c>
    </row>
    <row r="26" spans="1:22">
      <c r="A26">
        <v>25</v>
      </c>
      <c r="B26" t="s">
        <v>46</v>
      </c>
      <c r="C26" t="s">
        <v>228</v>
      </c>
      <c r="D26" t="s">
        <v>412</v>
      </c>
      <c r="I26">
        <v>10000</v>
      </c>
      <c r="K26" t="s">
        <v>449</v>
      </c>
      <c r="L26">
        <f>HYPERLINK("https://maps.cookcountyil.gov/cookviewer/?search=3225 W ALTGELD ST", "3225 W ALTGELD ST")</f>
        <v>0</v>
      </c>
      <c r="N26" t="s">
        <v>606</v>
      </c>
      <c r="P26" t="s">
        <v>630</v>
      </c>
      <c r="Q26" t="s">
        <v>809</v>
      </c>
      <c r="U26">
        <f>HYPERLINK("https://www.cookcountyassessoril.gov/pin/13264290040000", "13-26-429-004-0000")</f>
        <v>0</v>
      </c>
      <c r="V26" t="s">
        <v>968</v>
      </c>
    </row>
    <row r="27" spans="1:22">
      <c r="A27">
        <v>26</v>
      </c>
      <c r="B27" t="s">
        <v>47</v>
      </c>
      <c r="C27" t="s">
        <v>229</v>
      </c>
      <c r="D27" t="s">
        <v>413</v>
      </c>
      <c r="I27">
        <v>25000</v>
      </c>
      <c r="K27" t="s">
        <v>450</v>
      </c>
      <c r="L27">
        <f>HYPERLINK("https://maps.cookcountyil.gov/cookviewer/?search=4915 N WASHTENAW AVE", "4915 N WASHTENAW AVE")</f>
        <v>0</v>
      </c>
      <c r="N27" t="s">
        <v>606</v>
      </c>
      <c r="P27" t="s">
        <v>631</v>
      </c>
      <c r="Q27" t="s">
        <v>810</v>
      </c>
      <c r="U27">
        <f>HYPERLINK("https://www.cookcountyassessoril.gov/pin/13124130100000", "13-12-413-010-0000")</f>
        <v>0</v>
      </c>
      <c r="V27" t="s">
        <v>968</v>
      </c>
    </row>
    <row r="28" spans="1:22">
      <c r="A28">
        <v>27</v>
      </c>
      <c r="B28" t="s">
        <v>48</v>
      </c>
      <c r="C28" t="s">
        <v>230</v>
      </c>
      <c r="D28" t="s">
        <v>403</v>
      </c>
      <c r="I28">
        <v>1200</v>
      </c>
      <c r="K28" t="s">
        <v>451</v>
      </c>
      <c r="L28">
        <f>HYPERLINK("https://maps.cookcountyil.gov/cookviewer/?search=250 N CALIFORNIA AVE", "250 N CALIFORNIA AVE")</f>
        <v>0</v>
      </c>
      <c r="N28" t="s">
        <v>606</v>
      </c>
      <c r="P28" t="s">
        <v>632</v>
      </c>
      <c r="Q28" t="s">
        <v>811</v>
      </c>
      <c r="U28">
        <f>HYPERLINK("https://www.cookcountyassessoril.gov/pin/16123110300000", "16-12-311-030-0000")</f>
        <v>0</v>
      </c>
      <c r="V28" t="s">
        <v>968</v>
      </c>
    </row>
    <row r="29" spans="1:22">
      <c r="A29">
        <v>28</v>
      </c>
      <c r="B29" t="s">
        <v>49</v>
      </c>
      <c r="C29" t="s">
        <v>231</v>
      </c>
      <c r="D29" t="s">
        <v>411</v>
      </c>
      <c r="I29">
        <v>11000</v>
      </c>
      <c r="K29" t="s">
        <v>452</v>
      </c>
      <c r="L29">
        <f>HYPERLINK("https://maps.cookcountyil.gov/cookviewer/?search=4624 N LEAMINGTON AVE", "4624 N LEAMINGTON AVE")</f>
        <v>0</v>
      </c>
      <c r="N29" t="s">
        <v>606</v>
      </c>
      <c r="P29" t="s">
        <v>633</v>
      </c>
      <c r="Q29" t="s">
        <v>812</v>
      </c>
      <c r="U29">
        <f>HYPERLINK("https://www.cookcountyassessoril.gov/pin/13162080330000", "13-16-208-033-0000")</f>
        <v>0</v>
      </c>
      <c r="V29" t="s">
        <v>968</v>
      </c>
    </row>
    <row r="30" spans="1:22">
      <c r="A30">
        <v>29</v>
      </c>
      <c r="B30" t="s">
        <v>50</v>
      </c>
      <c r="C30" t="s">
        <v>232</v>
      </c>
      <c r="D30" t="s">
        <v>414</v>
      </c>
      <c r="I30">
        <v>10000</v>
      </c>
      <c r="K30" t="s">
        <v>453</v>
      </c>
      <c r="L30">
        <f>HYPERLINK("https://maps.cookcountyil.gov/cookviewer/?search=4250 N MARINE DR", "4250 N MARINE DR")</f>
        <v>0</v>
      </c>
      <c r="N30" t="s">
        <v>606</v>
      </c>
      <c r="P30" t="s">
        <v>634</v>
      </c>
      <c r="Q30" t="s">
        <v>813</v>
      </c>
      <c r="U30" t="s">
        <v>967</v>
      </c>
      <c r="V30" t="s">
        <v>968</v>
      </c>
    </row>
    <row r="31" spans="1:22">
      <c r="A31">
        <v>30</v>
      </c>
      <c r="B31" t="s">
        <v>51</v>
      </c>
      <c r="C31" t="s">
        <v>233</v>
      </c>
      <c r="D31" t="s">
        <v>415</v>
      </c>
      <c r="I31">
        <v>291830</v>
      </c>
      <c r="K31" t="s">
        <v>454</v>
      </c>
      <c r="L31">
        <f>HYPERLINK("https://maps.cookcountyil.gov/cookviewer/?search=6201 N OAKLEY AVE", "6201 N OAKLEY AVE")</f>
        <v>0</v>
      </c>
      <c r="N31" t="s">
        <v>606</v>
      </c>
      <c r="P31" t="s">
        <v>635</v>
      </c>
      <c r="Q31" t="s">
        <v>814</v>
      </c>
      <c r="U31">
        <f>HYPERLINK("https://www.cookcountyassessoril.gov/pin/14061070321004", "14-06-107-032-1004"), =HYPERLINK("https://www.cookcountyassessoril.gov/pin/14061070321002", "14-06-107-032-1002"), =HYPERLINK("https://www.cookcountyassessoril.gov/pin/14061070321011", "14-06-107-032-1011"), =HYPERLINK("https://www.cookcountyassessoril.gov/pin/14061070321008", "14-06-107-032-1008"), =HYPERLINK("https://www.cookcountyassessoril.gov/pin/14061070321006", "14-06-107-032-1006"), =HYPERLINK("https://www.cookcountyassessoril.gov/pin/14061070321003", "14-06-107-032-1003")</f>
        <v>0</v>
      </c>
      <c r="V31" t="s">
        <v>968</v>
      </c>
    </row>
    <row r="32" spans="1:22">
      <c r="A32">
        <v>31</v>
      </c>
      <c r="B32" t="s">
        <v>52</v>
      </c>
      <c r="C32" t="s">
        <v>234</v>
      </c>
      <c r="D32" t="s">
        <v>406</v>
      </c>
      <c r="I32">
        <v>60000</v>
      </c>
      <c r="K32" t="s">
        <v>455</v>
      </c>
      <c r="L32">
        <f>HYPERLINK("https://maps.cookcountyil.gov/cookviewer/?search=2114 W ESTES AVE", "2114 W ESTES AVE")</f>
        <v>0</v>
      </c>
      <c r="N32" t="s">
        <v>606</v>
      </c>
      <c r="P32" t="s">
        <v>636</v>
      </c>
      <c r="Q32" t="s">
        <v>815</v>
      </c>
      <c r="U32">
        <f>HYPERLINK("https://www.cookcountyassessoril.gov/pin/11311020270000", "11-31-102-027-0000")</f>
        <v>0</v>
      </c>
      <c r="V32" t="s">
        <v>968</v>
      </c>
    </row>
    <row r="33" spans="1:22">
      <c r="A33">
        <v>32</v>
      </c>
      <c r="B33" t="s">
        <v>53</v>
      </c>
      <c r="C33" t="s">
        <v>235</v>
      </c>
      <c r="D33" t="s">
        <v>405</v>
      </c>
      <c r="I33">
        <v>22304</v>
      </c>
      <c r="K33" t="s">
        <v>456</v>
      </c>
      <c r="L33">
        <f>HYPERLINK("https://maps.cookcountyil.gov/cookviewer/?search=8405 S MARQUETTE AVE", "8405 S MARQUETTE AVE")</f>
        <v>0</v>
      </c>
      <c r="N33" t="s">
        <v>606</v>
      </c>
      <c r="P33" t="s">
        <v>637</v>
      </c>
      <c r="Q33" t="s">
        <v>816</v>
      </c>
      <c r="U33">
        <f>HYPERLINK("https://www.cookcountyassessoril.gov/pin/21313140020000", "21-31-314-002-0000")</f>
        <v>0</v>
      </c>
      <c r="V33" t="s">
        <v>969</v>
      </c>
    </row>
    <row r="34" spans="1:22">
      <c r="A34">
        <v>33</v>
      </c>
      <c r="B34" t="s">
        <v>54</v>
      </c>
      <c r="C34" t="s">
        <v>236</v>
      </c>
      <c r="D34" t="s">
        <v>407</v>
      </c>
      <c r="I34">
        <v>940</v>
      </c>
      <c r="K34" t="s">
        <v>457</v>
      </c>
      <c r="L34">
        <f>HYPERLINK("https://maps.cookcountyil.gov/cookviewer/?search=5201 W WARWICK AVE", "5201 W WARWICK AVE")</f>
        <v>0</v>
      </c>
      <c r="N34" t="s">
        <v>606</v>
      </c>
      <c r="P34" t="s">
        <v>638</v>
      </c>
      <c r="Q34" t="s">
        <v>817</v>
      </c>
      <c r="U34">
        <f>HYPERLINK("https://www.cookcountyassessoril.gov/pin/13211230190000", "13-21-123-019-0000")</f>
        <v>0</v>
      </c>
      <c r="V34" t="s">
        <v>968</v>
      </c>
    </row>
    <row r="35" spans="1:22">
      <c r="A35">
        <v>34</v>
      </c>
      <c r="B35" t="s">
        <v>55</v>
      </c>
      <c r="C35" t="s">
        <v>237</v>
      </c>
      <c r="D35" t="s">
        <v>405</v>
      </c>
      <c r="I35">
        <v>29000</v>
      </c>
      <c r="K35" t="s">
        <v>458</v>
      </c>
      <c r="L35">
        <f>HYPERLINK("https://maps.cookcountyil.gov/cookviewer/?search=2117 S ST LOUIS AVE", "2117 S ST LOUIS AVE")</f>
        <v>0</v>
      </c>
      <c r="N35" t="s">
        <v>606</v>
      </c>
      <c r="P35" t="s">
        <v>639</v>
      </c>
      <c r="Q35" t="s">
        <v>818</v>
      </c>
      <c r="U35" t="s">
        <v>967</v>
      </c>
      <c r="V35" t="s">
        <v>969</v>
      </c>
    </row>
    <row r="36" spans="1:22">
      <c r="A36">
        <v>35</v>
      </c>
      <c r="B36" t="s">
        <v>56</v>
      </c>
      <c r="C36" t="s">
        <v>238</v>
      </c>
      <c r="D36" t="s">
        <v>416</v>
      </c>
      <c r="I36">
        <v>20734</v>
      </c>
      <c r="K36" t="s">
        <v>459</v>
      </c>
      <c r="L36">
        <f>HYPERLINK("https://maps.cookcountyil.gov/cookviewer/?search=6237 N NAVAJO AVE", "6237 N NAVAJO AVE")</f>
        <v>0</v>
      </c>
      <c r="N36" t="s">
        <v>606</v>
      </c>
      <c r="P36" t="s">
        <v>640</v>
      </c>
      <c r="Q36" t="s">
        <v>819</v>
      </c>
      <c r="U36">
        <f>HYPERLINK("https://www.cookcountyassessoril.gov/pin/13041090290000", "13-04-109-029-0000")</f>
        <v>0</v>
      </c>
      <c r="V36" t="s">
        <v>968</v>
      </c>
    </row>
    <row r="37" spans="1:22">
      <c r="A37">
        <v>36</v>
      </c>
      <c r="B37" t="s">
        <v>57</v>
      </c>
      <c r="C37" t="s">
        <v>239</v>
      </c>
      <c r="D37" t="s">
        <v>405</v>
      </c>
      <c r="I37">
        <v>30360</v>
      </c>
      <c r="K37" t="s">
        <v>460</v>
      </c>
      <c r="L37">
        <f>HYPERLINK("https://maps.cookcountyil.gov/cookviewer/?search=5655 S MCVICKER AVE", "5655 S MCVICKER AVE")</f>
        <v>0</v>
      </c>
      <c r="N37" t="s">
        <v>606</v>
      </c>
      <c r="P37" t="s">
        <v>641</v>
      </c>
      <c r="Q37" t="s">
        <v>820</v>
      </c>
      <c r="U37">
        <f>HYPERLINK("https://www.cookcountyassessoril.gov/pin/19171150450000", "19-17-115-045-0000")</f>
        <v>0</v>
      </c>
      <c r="V37" t="s">
        <v>969</v>
      </c>
    </row>
    <row r="38" spans="1:22">
      <c r="A38">
        <v>37</v>
      </c>
      <c r="B38" t="s">
        <v>58</v>
      </c>
      <c r="C38" t="s">
        <v>240</v>
      </c>
      <c r="D38" t="s">
        <v>411</v>
      </c>
      <c r="I38">
        <v>13000</v>
      </c>
      <c r="K38" t="s">
        <v>461</v>
      </c>
      <c r="L38">
        <f>HYPERLINK("https://maps.cookcountyil.gov/cookviewer/?search=5644 S JUSTINE ST", "5644 S JUSTINE ST")</f>
        <v>0</v>
      </c>
      <c r="N38" t="s">
        <v>606</v>
      </c>
      <c r="P38" t="s">
        <v>642</v>
      </c>
      <c r="Q38" t="s">
        <v>821</v>
      </c>
      <c r="U38">
        <f>HYPERLINK("https://www.cookcountyassessoril.gov/pin/20171080390000", "20-17-108-039-0000")</f>
        <v>0</v>
      </c>
      <c r="V38" t="s">
        <v>969</v>
      </c>
    </row>
    <row r="39" spans="1:22">
      <c r="A39">
        <v>38</v>
      </c>
      <c r="B39" t="s">
        <v>59</v>
      </c>
      <c r="C39" t="s">
        <v>241</v>
      </c>
      <c r="D39" t="s">
        <v>405</v>
      </c>
      <c r="I39">
        <v>12900</v>
      </c>
      <c r="K39" t="s">
        <v>462</v>
      </c>
      <c r="L39">
        <f>HYPERLINK("https://maps.cookcountyil.gov/cookviewer/?search=1350 E 70TH ST", "1350 E 70TH ST")</f>
        <v>0</v>
      </c>
      <c r="N39" t="s">
        <v>606</v>
      </c>
      <c r="P39" t="s">
        <v>643</v>
      </c>
      <c r="Q39" t="s">
        <v>822</v>
      </c>
      <c r="U39">
        <f>HYPERLINK("https://www.cookcountyassessoril.gov/pin/20234120710000", "20-23-412-071-0000")</f>
        <v>0</v>
      </c>
      <c r="V39" t="s">
        <v>968</v>
      </c>
    </row>
    <row r="40" spans="1:22">
      <c r="A40">
        <v>39</v>
      </c>
      <c r="B40" t="s">
        <v>23</v>
      </c>
      <c r="C40" t="s">
        <v>242</v>
      </c>
      <c r="D40" t="s">
        <v>407</v>
      </c>
      <c r="I40">
        <v>15200</v>
      </c>
      <c r="K40" t="s">
        <v>426</v>
      </c>
      <c r="L40">
        <f>HYPERLINK("https://maps.cookcountyil.gov/cookviewer/?search=8426 S JUSTINE ST", "8426 S JUSTINE ST")</f>
        <v>0</v>
      </c>
      <c r="N40" t="s">
        <v>606</v>
      </c>
      <c r="P40" t="s">
        <v>607</v>
      </c>
      <c r="Q40" t="s">
        <v>823</v>
      </c>
      <c r="U40">
        <f>HYPERLINK("https://www.cookcountyassessoril.gov/pin/20323070290000", "20-32-307-029-0000")</f>
        <v>0</v>
      </c>
      <c r="V40" t="s">
        <v>969</v>
      </c>
    </row>
    <row r="41" spans="1:22">
      <c r="A41">
        <v>40</v>
      </c>
      <c r="B41" t="s">
        <v>60</v>
      </c>
      <c r="C41" t="s">
        <v>243</v>
      </c>
      <c r="D41" t="s">
        <v>405</v>
      </c>
      <c r="I41">
        <v>23000</v>
      </c>
      <c r="K41" t="s">
        <v>463</v>
      </c>
      <c r="L41">
        <f>HYPERLINK("https://maps.cookcountyil.gov/cookviewer/?search=101 N WACKER DR", "101 N WACKER DR")</f>
        <v>0</v>
      </c>
      <c r="N41" t="s">
        <v>606</v>
      </c>
      <c r="P41" t="s">
        <v>644</v>
      </c>
      <c r="Q41" t="s">
        <v>824</v>
      </c>
      <c r="U41">
        <f>HYPERLINK("https://www.cookcountyassessoril.gov/pin/17094420010000", "17-09-442-001-0000")</f>
        <v>0</v>
      </c>
      <c r="V41" t="s">
        <v>968</v>
      </c>
    </row>
    <row r="42" spans="1:22">
      <c r="A42">
        <v>41</v>
      </c>
      <c r="B42" t="s">
        <v>61</v>
      </c>
      <c r="C42" t="s">
        <v>244</v>
      </c>
      <c r="D42" t="s">
        <v>405</v>
      </c>
      <c r="I42">
        <v>700</v>
      </c>
      <c r="K42" t="s">
        <v>464</v>
      </c>
      <c r="L42">
        <f>HYPERLINK("https://maps.cookcountyil.gov/cookviewer/?search=10151 S ABERDEEN ST", "10151 S ABERDEEN ST")</f>
        <v>0</v>
      </c>
      <c r="N42" t="s">
        <v>606</v>
      </c>
      <c r="P42" t="s">
        <v>645</v>
      </c>
      <c r="Q42" t="s">
        <v>825</v>
      </c>
      <c r="U42">
        <f>HYPERLINK("https://www.cookcountyassessoril.gov/pin/25084180190000", "25-08-418-019-0000")</f>
        <v>0</v>
      </c>
      <c r="V42" t="s">
        <v>968</v>
      </c>
    </row>
    <row r="43" spans="1:22">
      <c r="A43">
        <v>42</v>
      </c>
      <c r="B43" t="s">
        <v>62</v>
      </c>
      <c r="C43" t="s">
        <v>245</v>
      </c>
      <c r="D43" t="s">
        <v>403</v>
      </c>
      <c r="I43">
        <v>1000</v>
      </c>
      <c r="K43" t="s">
        <v>465</v>
      </c>
      <c r="L43">
        <f>HYPERLINK("https://maps.cookcountyil.gov/cookviewer/?search=360 N GREEN ST", "360 N GREEN ST")</f>
        <v>0</v>
      </c>
      <c r="N43" t="s">
        <v>606</v>
      </c>
      <c r="P43" t="s">
        <v>646</v>
      </c>
      <c r="Q43" t="s">
        <v>826</v>
      </c>
      <c r="U43">
        <f>HYPERLINK("https://www.cookcountyassessoril.gov/pin/17084060130000", "17-08-406-013-0000")</f>
        <v>0</v>
      </c>
      <c r="V43" t="s">
        <v>968</v>
      </c>
    </row>
    <row r="44" spans="1:22">
      <c r="A44">
        <v>43</v>
      </c>
      <c r="B44" t="s">
        <v>63</v>
      </c>
      <c r="C44" t="s">
        <v>246</v>
      </c>
      <c r="D44" t="s">
        <v>411</v>
      </c>
      <c r="I44">
        <v>44266</v>
      </c>
      <c r="K44" t="s">
        <v>466</v>
      </c>
      <c r="L44">
        <f>HYPERLINK("https://maps.cookcountyil.gov/cookviewer/?search=10409 S ARTESIAN AVE", "10409 S ARTESIAN AVE")</f>
        <v>0</v>
      </c>
      <c r="N44" t="s">
        <v>606</v>
      </c>
      <c r="P44" t="s">
        <v>647</v>
      </c>
      <c r="Q44" t="s">
        <v>827</v>
      </c>
      <c r="U44">
        <f>HYPERLINK("https://www.cookcountyassessoril.gov/pin/24132170030000", "24-13-217-003-0000")</f>
        <v>0</v>
      </c>
      <c r="V44" t="s">
        <v>969</v>
      </c>
    </row>
    <row r="45" spans="1:22">
      <c r="A45">
        <v>44</v>
      </c>
      <c r="B45" t="s">
        <v>64</v>
      </c>
      <c r="C45" t="s">
        <v>247</v>
      </c>
      <c r="D45" t="s">
        <v>412</v>
      </c>
      <c r="I45">
        <v>6500</v>
      </c>
      <c r="K45" t="s">
        <v>467</v>
      </c>
      <c r="L45">
        <f>HYPERLINK("https://maps.cookcountyil.gov/cookviewer/?search=10643 S HOXIE AVE", "10643 S HOXIE AVE")</f>
        <v>0</v>
      </c>
      <c r="N45" t="s">
        <v>606</v>
      </c>
      <c r="P45" t="s">
        <v>648</v>
      </c>
      <c r="Q45" t="s">
        <v>828</v>
      </c>
      <c r="U45">
        <f>HYPERLINK("https://www.cookcountyassessoril.gov/pin/25132030460000", "25-13-203-046-0000")</f>
        <v>0</v>
      </c>
      <c r="V45" t="s">
        <v>968</v>
      </c>
    </row>
    <row r="46" spans="1:22">
      <c r="A46">
        <v>45</v>
      </c>
      <c r="B46" t="s">
        <v>65</v>
      </c>
      <c r="C46" t="s">
        <v>248</v>
      </c>
      <c r="D46" t="s">
        <v>404</v>
      </c>
      <c r="I46">
        <v>2000</v>
      </c>
      <c r="K46" t="s">
        <v>468</v>
      </c>
      <c r="L46">
        <f>HYPERLINK("https://maps.cookcountyil.gov/cookviewer/?search=836 W BRADLEY PL", "836 W BRADLEY PL")</f>
        <v>0</v>
      </c>
      <c r="N46" t="s">
        <v>606</v>
      </c>
      <c r="P46" t="s">
        <v>649</v>
      </c>
      <c r="Q46" t="s">
        <v>829</v>
      </c>
      <c r="U46" t="s">
        <v>967</v>
      </c>
      <c r="V46" t="s">
        <v>968</v>
      </c>
    </row>
    <row r="47" spans="1:22">
      <c r="A47">
        <v>46</v>
      </c>
      <c r="B47" t="s">
        <v>66</v>
      </c>
      <c r="C47" t="s">
        <v>249</v>
      </c>
      <c r="D47" t="s">
        <v>405</v>
      </c>
      <c r="I47">
        <v>1000</v>
      </c>
      <c r="K47" t="s">
        <v>469</v>
      </c>
      <c r="L47">
        <f>HYPERLINK("https://maps.cookcountyil.gov/cookviewer/?search=2134 N LATROBE AVE", "2134 N LATROBE AVE")</f>
        <v>0</v>
      </c>
      <c r="N47" t="s">
        <v>606</v>
      </c>
      <c r="P47" t="s">
        <v>650</v>
      </c>
      <c r="Q47" t="s">
        <v>830</v>
      </c>
      <c r="U47">
        <f>HYPERLINK("https://www.cookcountyassessoril.gov/pin/13331110290000", "13-33-111-029-0000")</f>
        <v>0</v>
      </c>
      <c r="V47" t="s">
        <v>968</v>
      </c>
    </row>
    <row r="48" spans="1:22">
      <c r="A48">
        <v>47</v>
      </c>
      <c r="B48" t="s">
        <v>67</v>
      </c>
      <c r="C48" t="s">
        <v>250</v>
      </c>
      <c r="D48" t="s">
        <v>416</v>
      </c>
      <c r="I48">
        <v>7800</v>
      </c>
      <c r="K48" t="s">
        <v>470</v>
      </c>
      <c r="L48">
        <f>HYPERLINK("https://maps.cookcountyil.gov/cookviewer/?search=4238 W MAYPOLE AVE", "4238 W MAYPOLE AVE")</f>
        <v>0</v>
      </c>
      <c r="N48" t="s">
        <v>606</v>
      </c>
      <c r="P48" t="s">
        <v>651</v>
      </c>
      <c r="Q48" t="s">
        <v>811</v>
      </c>
      <c r="U48">
        <f>HYPERLINK("https://www.cookcountyassessoril.gov/pin/16104090190000", "16-10-409-019-0000")</f>
        <v>0</v>
      </c>
      <c r="V48" t="s">
        <v>968</v>
      </c>
    </row>
    <row r="49" spans="1:22">
      <c r="A49">
        <v>48</v>
      </c>
      <c r="B49" t="s">
        <v>68</v>
      </c>
      <c r="C49" t="s">
        <v>251</v>
      </c>
      <c r="D49" t="s">
        <v>411</v>
      </c>
      <c r="I49">
        <v>6400</v>
      </c>
      <c r="K49" t="s">
        <v>471</v>
      </c>
      <c r="L49">
        <f>HYPERLINK("https://maps.cookcountyil.gov/cookviewer/?search=2903 W DIVERSEY AVE", "2903 W DIVERSEY AVE")</f>
        <v>0</v>
      </c>
      <c r="N49" t="s">
        <v>606</v>
      </c>
      <c r="P49" t="s">
        <v>652</v>
      </c>
      <c r="Q49" t="s">
        <v>831</v>
      </c>
      <c r="U49">
        <f>HYPERLINK("https://www.cookcountyassessoril.gov/pin/13253050100000", "13-25-305-010-0000")</f>
        <v>0</v>
      </c>
      <c r="V49" t="s">
        <v>968</v>
      </c>
    </row>
    <row r="50" spans="1:22">
      <c r="A50">
        <v>49</v>
      </c>
      <c r="B50" t="s">
        <v>69</v>
      </c>
      <c r="C50" t="s">
        <v>252</v>
      </c>
      <c r="D50" t="s">
        <v>413</v>
      </c>
      <c r="I50">
        <v>16000</v>
      </c>
      <c r="K50" t="s">
        <v>472</v>
      </c>
      <c r="L50">
        <f>HYPERLINK("https://maps.cookcountyil.gov/cookviewer/?search=1718 N AUSTIN AVE", "1718 N AUSTIN AVE")</f>
        <v>0</v>
      </c>
      <c r="N50" t="s">
        <v>606</v>
      </c>
      <c r="P50" t="s">
        <v>653</v>
      </c>
      <c r="Q50" t="s">
        <v>810</v>
      </c>
      <c r="U50">
        <f>HYPERLINK("https://www.cookcountyassessoril.gov/pin/13323140310000", "13-32-314-031-0000")</f>
        <v>0</v>
      </c>
      <c r="V50" t="s">
        <v>968</v>
      </c>
    </row>
    <row r="51" spans="1:22">
      <c r="A51">
        <v>50</v>
      </c>
      <c r="B51" t="s">
        <v>70</v>
      </c>
      <c r="C51" t="s">
        <v>253</v>
      </c>
      <c r="D51" t="s">
        <v>403</v>
      </c>
      <c r="I51">
        <v>18243</v>
      </c>
      <c r="K51" t="s">
        <v>473</v>
      </c>
      <c r="L51">
        <f>HYPERLINK("https://maps.cookcountyil.gov/cookviewer/?search=602 W 103RD ST", "602 W 103RD ST")</f>
        <v>0</v>
      </c>
      <c r="N51" t="s">
        <v>606</v>
      </c>
      <c r="P51" t="s">
        <v>654</v>
      </c>
      <c r="Q51" t="s">
        <v>832</v>
      </c>
      <c r="U51" t="s">
        <v>967</v>
      </c>
      <c r="V51" t="s">
        <v>969</v>
      </c>
    </row>
    <row r="52" spans="1:22">
      <c r="A52">
        <v>51</v>
      </c>
      <c r="B52" t="s">
        <v>70</v>
      </c>
      <c r="C52" t="s">
        <v>254</v>
      </c>
      <c r="D52" t="s">
        <v>406</v>
      </c>
      <c r="I52">
        <v>5000</v>
      </c>
      <c r="K52" t="s">
        <v>473</v>
      </c>
      <c r="L52">
        <f>HYPERLINK("https://maps.cookcountyil.gov/cookviewer/?search=602 W 103RD ST", "602 W 103RD ST")</f>
        <v>0</v>
      </c>
      <c r="N52" t="s">
        <v>606</v>
      </c>
      <c r="P52" t="s">
        <v>654</v>
      </c>
      <c r="Q52" t="s">
        <v>833</v>
      </c>
      <c r="U52" t="s">
        <v>967</v>
      </c>
      <c r="V52" t="s">
        <v>968</v>
      </c>
    </row>
    <row r="53" spans="1:22">
      <c r="A53">
        <v>52</v>
      </c>
      <c r="B53" t="s">
        <v>71</v>
      </c>
      <c r="C53" t="s">
        <v>255</v>
      </c>
      <c r="D53" t="s">
        <v>412</v>
      </c>
      <c r="I53">
        <v>5500</v>
      </c>
      <c r="K53" t="s">
        <v>474</v>
      </c>
      <c r="L53">
        <f>HYPERLINK("https://maps.cookcountyil.gov/cookviewer/?search=2642 N LINCOLN AVE", "2642 N LINCOLN AVE")</f>
        <v>0</v>
      </c>
      <c r="N53" t="s">
        <v>606</v>
      </c>
      <c r="P53" t="s">
        <v>655</v>
      </c>
      <c r="Q53" t="s">
        <v>834</v>
      </c>
      <c r="U53">
        <f>HYPERLINK("https://www.cookcountyassessoril.gov/pin/14294100090000", "14-29-410-009-0000")</f>
        <v>0</v>
      </c>
      <c r="V53" t="s">
        <v>968</v>
      </c>
    </row>
    <row r="54" spans="1:22">
      <c r="A54">
        <v>53</v>
      </c>
      <c r="B54" t="s">
        <v>72</v>
      </c>
      <c r="C54" t="s">
        <v>256</v>
      </c>
      <c r="D54" t="s">
        <v>417</v>
      </c>
      <c r="I54">
        <v>5800</v>
      </c>
      <c r="K54" t="s">
        <v>475</v>
      </c>
      <c r="L54">
        <f>HYPERLINK("https://maps.cookcountyil.gov/cookviewer/?search=3757 W ADDISON ST", "3757 W ADDISON ST")</f>
        <v>0</v>
      </c>
      <c r="N54" t="s">
        <v>606</v>
      </c>
      <c r="P54" t="s">
        <v>656</v>
      </c>
      <c r="Q54" t="s">
        <v>835</v>
      </c>
      <c r="U54" t="s">
        <v>967</v>
      </c>
      <c r="V54" t="s">
        <v>968</v>
      </c>
    </row>
    <row r="55" spans="1:22">
      <c r="A55">
        <v>54</v>
      </c>
      <c r="B55" t="s">
        <v>73</v>
      </c>
      <c r="C55" t="s">
        <v>257</v>
      </c>
      <c r="D55" t="s">
        <v>403</v>
      </c>
      <c r="I55">
        <v>22138</v>
      </c>
      <c r="K55" t="s">
        <v>476</v>
      </c>
      <c r="L55">
        <f>HYPERLINK("https://maps.cookcountyil.gov/cookviewer/?search=5238 S MOBILE AVE", "5238 S MOBILE AVE")</f>
        <v>0</v>
      </c>
      <c r="N55" t="s">
        <v>606</v>
      </c>
      <c r="P55" t="s">
        <v>657</v>
      </c>
      <c r="Q55" t="s">
        <v>836</v>
      </c>
      <c r="U55">
        <f>HYPERLINK("https://www.cookcountyassessoril.gov/pin/19083090710000", "19-08-309-071-0000")</f>
        <v>0</v>
      </c>
      <c r="V55" t="s">
        <v>969</v>
      </c>
    </row>
    <row r="56" spans="1:22">
      <c r="A56">
        <v>55</v>
      </c>
      <c r="B56" t="s">
        <v>74</v>
      </c>
      <c r="C56" t="s">
        <v>258</v>
      </c>
      <c r="D56" t="s">
        <v>403</v>
      </c>
      <c r="I56">
        <v>58000</v>
      </c>
      <c r="K56" t="s">
        <v>477</v>
      </c>
      <c r="L56">
        <f>HYPERLINK("https://maps.cookcountyil.gov/cookviewer/?search=124 W POLK ST", "124 W POLK ST")</f>
        <v>0</v>
      </c>
      <c r="N56" t="s">
        <v>606</v>
      </c>
      <c r="P56" t="s">
        <v>658</v>
      </c>
      <c r="Q56" t="s">
        <v>837</v>
      </c>
      <c r="U56" t="s">
        <v>967</v>
      </c>
      <c r="V56" t="s">
        <v>969</v>
      </c>
    </row>
    <row r="57" spans="1:22">
      <c r="A57">
        <v>56</v>
      </c>
      <c r="B57" t="s">
        <v>73</v>
      </c>
      <c r="C57" t="s">
        <v>259</v>
      </c>
      <c r="D57" t="s">
        <v>403</v>
      </c>
      <c r="I57">
        <v>7011</v>
      </c>
      <c r="K57" t="s">
        <v>476</v>
      </c>
      <c r="L57">
        <f>HYPERLINK("https://maps.cookcountyil.gov/cookviewer/?search=5238 S MOBILE AVE", "5238 S MOBILE AVE")</f>
        <v>0</v>
      </c>
      <c r="N57" t="s">
        <v>606</v>
      </c>
      <c r="P57" t="s">
        <v>657</v>
      </c>
      <c r="Q57" t="s">
        <v>838</v>
      </c>
      <c r="U57">
        <f>HYPERLINK("https://www.cookcountyassessoril.gov/pin/19083090710000", "19-08-309-071-0000")</f>
        <v>0</v>
      </c>
      <c r="V57" t="s">
        <v>969</v>
      </c>
    </row>
    <row r="58" spans="1:22">
      <c r="A58">
        <v>57</v>
      </c>
      <c r="B58" t="s">
        <v>75</v>
      </c>
      <c r="C58" t="s">
        <v>260</v>
      </c>
      <c r="D58" t="s">
        <v>403</v>
      </c>
      <c r="I58">
        <v>22138</v>
      </c>
      <c r="K58" t="s">
        <v>478</v>
      </c>
      <c r="L58">
        <f>HYPERLINK("https://maps.cookcountyil.gov/cookviewer/?search=12100 S STEWART AVE", "12100 S STEWART AVE")</f>
        <v>0</v>
      </c>
      <c r="N58" t="s">
        <v>606</v>
      </c>
      <c r="P58" t="s">
        <v>659</v>
      </c>
      <c r="Q58" t="s">
        <v>839</v>
      </c>
      <c r="U58">
        <f>HYPERLINK("https://www.cookcountyassessoril.gov/pin/25281230180000", "25-28-123-018-0000")</f>
        <v>0</v>
      </c>
      <c r="V58" t="s">
        <v>969</v>
      </c>
    </row>
    <row r="59" spans="1:22">
      <c r="A59">
        <v>58</v>
      </c>
      <c r="B59" t="s">
        <v>73</v>
      </c>
      <c r="C59" t="s">
        <v>261</v>
      </c>
      <c r="D59" t="s">
        <v>405</v>
      </c>
      <c r="I59">
        <v>5680</v>
      </c>
      <c r="K59" t="s">
        <v>476</v>
      </c>
      <c r="L59">
        <f>HYPERLINK("https://maps.cookcountyil.gov/cookviewer/?search=5238 S MOBILE AVE", "5238 S MOBILE AVE")</f>
        <v>0</v>
      </c>
      <c r="N59" t="s">
        <v>606</v>
      </c>
      <c r="P59" t="s">
        <v>657</v>
      </c>
      <c r="Q59" t="s">
        <v>840</v>
      </c>
      <c r="U59">
        <f>HYPERLINK("https://www.cookcountyassessoril.gov/pin/19083090710000", "19-08-309-071-0000")</f>
        <v>0</v>
      </c>
      <c r="V59" t="s">
        <v>968</v>
      </c>
    </row>
    <row r="60" spans="1:22">
      <c r="A60">
        <v>59</v>
      </c>
      <c r="B60" t="s">
        <v>76</v>
      </c>
      <c r="C60" t="s">
        <v>262</v>
      </c>
      <c r="D60" t="s">
        <v>405</v>
      </c>
      <c r="I60">
        <v>24300</v>
      </c>
      <c r="K60" t="s">
        <v>479</v>
      </c>
      <c r="L60">
        <f>HYPERLINK("https://maps.cookcountyil.gov/cookviewer/?search=4551 W WRIGHTWOOD AVE", "4551 W WRIGHTWOOD AVE")</f>
        <v>0</v>
      </c>
      <c r="N60" t="s">
        <v>606</v>
      </c>
      <c r="P60" t="s">
        <v>660</v>
      </c>
      <c r="Q60" t="s">
        <v>841</v>
      </c>
      <c r="U60">
        <f>HYPERLINK("https://www.cookcountyassessoril.gov/pin/13273140040000", "13-27-314-004-0000")</f>
        <v>0</v>
      </c>
      <c r="V60" t="s">
        <v>969</v>
      </c>
    </row>
    <row r="61" spans="1:22">
      <c r="A61">
        <v>60</v>
      </c>
      <c r="B61" t="s">
        <v>77</v>
      </c>
      <c r="C61" t="s">
        <v>263</v>
      </c>
      <c r="D61" t="s">
        <v>412</v>
      </c>
      <c r="I61">
        <v>48000</v>
      </c>
      <c r="K61" t="s">
        <v>480</v>
      </c>
      <c r="L61">
        <f>HYPERLINK("https://maps.cookcountyil.gov/cookviewer/?search=837 W ARMITAGE AVE", "837 W ARMITAGE AVE")</f>
        <v>0</v>
      </c>
      <c r="N61" t="s">
        <v>606</v>
      </c>
      <c r="P61" t="s">
        <v>661</v>
      </c>
      <c r="Q61" t="s">
        <v>842</v>
      </c>
      <c r="U61">
        <f>HYPERLINK("https://www.cookcountyassessoril.gov/pin/14324090320000", "14-32-409-032-0000")</f>
        <v>0</v>
      </c>
      <c r="V61" t="s">
        <v>968</v>
      </c>
    </row>
    <row r="62" spans="1:22">
      <c r="A62">
        <v>61</v>
      </c>
      <c r="B62" t="s">
        <v>78</v>
      </c>
      <c r="C62" t="s">
        <v>264</v>
      </c>
      <c r="D62" t="s">
        <v>404</v>
      </c>
      <c r="I62">
        <v>10000</v>
      </c>
      <c r="K62" t="s">
        <v>481</v>
      </c>
      <c r="L62">
        <f>HYPERLINK("https://maps.cookcountyil.gov/cookviewer/?search=1746 N STOCKTON DR", "1746 N STOCKTON DR")</f>
        <v>0</v>
      </c>
      <c r="N62" t="s">
        <v>606</v>
      </c>
      <c r="P62" t="s">
        <v>662</v>
      </c>
      <c r="Q62" t="s">
        <v>843</v>
      </c>
      <c r="U62" t="s">
        <v>967</v>
      </c>
      <c r="V62" t="s">
        <v>968</v>
      </c>
    </row>
    <row r="63" spans="1:22">
      <c r="A63">
        <v>62</v>
      </c>
      <c r="B63" t="s">
        <v>79</v>
      </c>
      <c r="C63" t="s">
        <v>265</v>
      </c>
      <c r="D63" t="s">
        <v>413</v>
      </c>
      <c r="I63">
        <v>14000</v>
      </c>
      <c r="K63" t="s">
        <v>482</v>
      </c>
      <c r="L63">
        <f>HYPERLINK("https://maps.cookcountyil.gov/cookviewer/?search=1710 W 48TH ST", "1710 W 48TH ST")</f>
        <v>0</v>
      </c>
      <c r="N63" t="s">
        <v>606</v>
      </c>
      <c r="P63" t="s">
        <v>663</v>
      </c>
      <c r="Q63" t="s">
        <v>810</v>
      </c>
      <c r="U63">
        <f>HYPERLINK("https://www.cookcountyassessoril.gov/pin/20072050390000", "20-07-205-039-0000")</f>
        <v>0</v>
      </c>
      <c r="V63" t="s">
        <v>968</v>
      </c>
    </row>
    <row r="64" spans="1:22">
      <c r="A64">
        <v>63</v>
      </c>
      <c r="B64" t="s">
        <v>80</v>
      </c>
      <c r="C64" t="s">
        <v>266</v>
      </c>
      <c r="D64" t="s">
        <v>404</v>
      </c>
      <c r="I64">
        <v>6000</v>
      </c>
      <c r="K64" t="s">
        <v>483</v>
      </c>
      <c r="L64">
        <f>HYPERLINK("https://maps.cookcountyil.gov/cookviewer/?search=1540 W GARFIELD BLVD", "1540 W GARFIELD BLVD")</f>
        <v>0</v>
      </c>
      <c r="N64" t="s">
        <v>606</v>
      </c>
      <c r="P64" t="s">
        <v>664</v>
      </c>
      <c r="Q64" t="s">
        <v>844</v>
      </c>
      <c r="U64" t="s">
        <v>967</v>
      </c>
      <c r="V64" t="s">
        <v>968</v>
      </c>
    </row>
    <row r="65" spans="1:22">
      <c r="A65">
        <v>64</v>
      </c>
      <c r="B65" t="s">
        <v>81</v>
      </c>
      <c r="C65" t="s">
        <v>267</v>
      </c>
      <c r="D65" t="s">
        <v>403</v>
      </c>
      <c r="I65">
        <v>2000</v>
      </c>
      <c r="K65" t="s">
        <v>484</v>
      </c>
      <c r="L65">
        <f>HYPERLINK("https://maps.cookcountyil.gov/cookviewer/?search=1212 N LAKE SHORE DR", "1212 N LAKE SHORE DR")</f>
        <v>0</v>
      </c>
      <c r="N65" t="s">
        <v>606</v>
      </c>
      <c r="P65" t="s">
        <v>665</v>
      </c>
      <c r="Q65" t="s">
        <v>845</v>
      </c>
      <c r="U65">
        <f>HYPERLINK("https://www.cookcountyassessoril.gov/pin/17031140031132", "17-03-114-003-1132"), =HYPERLINK("https://www.cookcountyassessoril.gov/pin/17031140031139", "17-03-114-003-1139"), =HYPERLINK("https://www.cookcountyassessoril.gov/pin/17031140031129", "17-03-114-003-1129"), =HYPERLINK("https://www.cookcountyassessoril.gov/pin/17031140031130", "17-03-114-003-1130"), =HYPERLINK("https://www.cookcountyassessoril.gov/pin/17031140031041", "17-03-114-003-1041")</f>
        <v>0</v>
      </c>
      <c r="V65" t="s">
        <v>968</v>
      </c>
    </row>
    <row r="66" spans="1:22">
      <c r="A66">
        <v>65</v>
      </c>
      <c r="B66" t="s">
        <v>82</v>
      </c>
      <c r="C66" t="s">
        <v>268</v>
      </c>
      <c r="D66" t="s">
        <v>403</v>
      </c>
      <c r="I66">
        <v>5500</v>
      </c>
      <c r="K66" t="s">
        <v>485</v>
      </c>
      <c r="L66">
        <f>HYPERLINK("https://maps.cookcountyil.gov/cookviewer/?search=9134 S MARQUETTE AVE", "9134 S MARQUETTE AVE")</f>
        <v>0</v>
      </c>
      <c r="N66" t="s">
        <v>606</v>
      </c>
      <c r="P66" t="s">
        <v>666</v>
      </c>
      <c r="Q66" t="s">
        <v>846</v>
      </c>
      <c r="U66">
        <f>HYPERLINK("https://www.cookcountyassessoril.gov/pin/26063050540000", "26-06-305-054-0000")</f>
        <v>0</v>
      </c>
      <c r="V66" t="s">
        <v>968</v>
      </c>
    </row>
    <row r="67" spans="1:22">
      <c r="A67">
        <v>66</v>
      </c>
      <c r="B67" t="s">
        <v>83</v>
      </c>
      <c r="C67" t="s">
        <v>269</v>
      </c>
      <c r="D67" t="s">
        <v>409</v>
      </c>
      <c r="I67">
        <v>39826</v>
      </c>
      <c r="K67" t="s">
        <v>486</v>
      </c>
      <c r="L67">
        <f>HYPERLINK("https://maps.cookcountyil.gov/cookviewer/?search=6320 N NORDICA AVE", "6320 N NORDICA AVE")</f>
        <v>0</v>
      </c>
      <c r="N67" t="s">
        <v>606</v>
      </c>
      <c r="P67" t="s">
        <v>667</v>
      </c>
      <c r="Q67" t="s">
        <v>847</v>
      </c>
      <c r="U67">
        <f>HYPERLINK("https://www.cookcountyassessoril.gov/pin/13061030540000", "13-06-103-054-0000")</f>
        <v>0</v>
      </c>
      <c r="V67" t="s">
        <v>969</v>
      </c>
    </row>
    <row r="68" spans="1:22">
      <c r="A68">
        <v>67</v>
      </c>
      <c r="B68" t="s">
        <v>84</v>
      </c>
      <c r="C68" t="s">
        <v>270</v>
      </c>
      <c r="D68" t="s">
        <v>409</v>
      </c>
      <c r="I68">
        <v>36000</v>
      </c>
      <c r="K68" t="s">
        <v>487</v>
      </c>
      <c r="L68">
        <f>HYPERLINK("https://maps.cookcountyil.gov/cookviewer/?search=7336 S BLACKSTONE AVE", "7336 S BLACKSTONE AVE")</f>
        <v>0</v>
      </c>
      <c r="N68" t="s">
        <v>606</v>
      </c>
      <c r="P68" t="s">
        <v>668</v>
      </c>
      <c r="Q68" t="s">
        <v>848</v>
      </c>
      <c r="U68">
        <f>HYPERLINK("https://www.cookcountyassessoril.gov/pin/20262210330000", "20-26-221-033-0000")</f>
        <v>0</v>
      </c>
      <c r="V68" t="s">
        <v>968</v>
      </c>
    </row>
    <row r="69" spans="1:22">
      <c r="A69">
        <v>68</v>
      </c>
      <c r="B69" t="s">
        <v>85</v>
      </c>
      <c r="C69" t="s">
        <v>271</v>
      </c>
      <c r="D69" t="s">
        <v>403</v>
      </c>
      <c r="I69">
        <v>2800</v>
      </c>
      <c r="K69" t="s">
        <v>488</v>
      </c>
      <c r="L69">
        <f>HYPERLINK("https://maps.cookcountyil.gov/cookviewer/?search=5320 N ELSTON AVE", "5320 N ELSTON AVE")</f>
        <v>0</v>
      </c>
      <c r="N69" t="s">
        <v>606</v>
      </c>
      <c r="P69" t="s">
        <v>669</v>
      </c>
      <c r="Q69" t="s">
        <v>849</v>
      </c>
      <c r="U69">
        <f>HYPERLINK("https://www.cookcountyassessoril.gov/pin/13092170040000", "13-09-217-004-0000")</f>
        <v>0</v>
      </c>
      <c r="V69" t="s">
        <v>968</v>
      </c>
    </row>
    <row r="70" spans="1:22">
      <c r="A70">
        <v>69</v>
      </c>
      <c r="B70" t="s">
        <v>86</v>
      </c>
      <c r="C70" t="s">
        <v>272</v>
      </c>
      <c r="D70" t="s">
        <v>410</v>
      </c>
      <c r="I70">
        <v>25000</v>
      </c>
      <c r="K70" t="s">
        <v>489</v>
      </c>
      <c r="L70">
        <f>HYPERLINK("https://maps.cookcountyil.gov/cookviewer/?search=3017 W ARMITAGE AVE", "3017 W ARMITAGE AVE")</f>
        <v>0</v>
      </c>
      <c r="N70" t="s">
        <v>606</v>
      </c>
      <c r="P70" t="s">
        <v>670</v>
      </c>
      <c r="Q70" t="s">
        <v>850</v>
      </c>
      <c r="U70" t="s">
        <v>967</v>
      </c>
      <c r="V70" t="s">
        <v>968</v>
      </c>
    </row>
    <row r="71" spans="1:22">
      <c r="A71">
        <v>70</v>
      </c>
      <c r="B71" t="s">
        <v>87</v>
      </c>
      <c r="C71" t="s">
        <v>273</v>
      </c>
      <c r="D71" t="s">
        <v>404</v>
      </c>
      <c r="I71">
        <v>3226</v>
      </c>
      <c r="K71" t="s">
        <v>490</v>
      </c>
      <c r="L71">
        <f>HYPERLINK("https://maps.cookcountyil.gov/cookviewer/?search=1310 N CENTRAL AVE", "1310 N CENTRAL AVE")</f>
        <v>0</v>
      </c>
      <c r="N71" t="s">
        <v>606</v>
      </c>
      <c r="P71" t="s">
        <v>671</v>
      </c>
      <c r="Q71" t="s">
        <v>851</v>
      </c>
      <c r="U71">
        <f>HYPERLINK("https://www.cookcountyassessoril.gov/pin/16052230330000", "16-05-223-033-0000")</f>
        <v>0</v>
      </c>
      <c r="V71" t="s">
        <v>968</v>
      </c>
    </row>
    <row r="72" spans="1:22">
      <c r="A72">
        <v>71</v>
      </c>
      <c r="B72" t="s">
        <v>88</v>
      </c>
      <c r="C72" t="s">
        <v>274</v>
      </c>
      <c r="D72" t="s">
        <v>416</v>
      </c>
      <c r="I72">
        <v>1177135</v>
      </c>
      <c r="K72" t="s">
        <v>491</v>
      </c>
      <c r="L72">
        <f>HYPERLINK("https://maps.cookcountyil.gov/cookviewer/?search=1653 W CONGRESS PKWY", "1653 W CONGRESS PKWY")</f>
        <v>0</v>
      </c>
      <c r="N72" t="s">
        <v>606</v>
      </c>
      <c r="P72" t="s">
        <v>672</v>
      </c>
      <c r="Q72" t="s">
        <v>852</v>
      </c>
      <c r="U72" t="s">
        <v>967</v>
      </c>
      <c r="V72" t="s">
        <v>969</v>
      </c>
    </row>
    <row r="73" spans="1:22">
      <c r="A73">
        <v>72</v>
      </c>
      <c r="B73" t="s">
        <v>89</v>
      </c>
      <c r="C73" t="s">
        <v>275</v>
      </c>
      <c r="D73" t="s">
        <v>403</v>
      </c>
      <c r="I73">
        <v>5700</v>
      </c>
      <c r="K73" t="s">
        <v>492</v>
      </c>
      <c r="L73">
        <f>HYPERLINK("https://maps.cookcountyil.gov/cookviewer/?search=7255 S SACRAMENTO AVE", "7255 S SACRAMENTO AVE")</f>
        <v>0</v>
      </c>
      <c r="N73" t="s">
        <v>606</v>
      </c>
      <c r="P73" t="s">
        <v>673</v>
      </c>
      <c r="Q73" t="s">
        <v>853</v>
      </c>
      <c r="U73">
        <f>HYPERLINK("https://www.cookcountyassessoril.gov/pin/19251120190000", "19-25-112-019-0000")</f>
        <v>0</v>
      </c>
      <c r="V73" t="s">
        <v>968</v>
      </c>
    </row>
    <row r="74" spans="1:22">
      <c r="A74">
        <v>73</v>
      </c>
      <c r="B74" t="s">
        <v>90</v>
      </c>
      <c r="C74" t="s">
        <v>276</v>
      </c>
      <c r="D74" t="s">
        <v>418</v>
      </c>
      <c r="I74">
        <v>1000</v>
      </c>
      <c r="K74" t="s">
        <v>493</v>
      </c>
      <c r="L74">
        <f>HYPERLINK("https://maps.cookcountyil.gov/cookviewer/?search=6100 N KILPATRICK AVE", "6100 N KILPATRICK AVE")</f>
        <v>0</v>
      </c>
      <c r="N74" t="s">
        <v>606</v>
      </c>
      <c r="P74" t="s">
        <v>674</v>
      </c>
      <c r="Q74" t="s">
        <v>854</v>
      </c>
      <c r="U74">
        <f>HYPERLINK("https://www.cookcountyassessoril.gov/pin/13031190390000", "13-03-119-039-0000")</f>
        <v>0</v>
      </c>
      <c r="V74" t="s">
        <v>968</v>
      </c>
    </row>
    <row r="75" spans="1:22">
      <c r="A75">
        <v>74</v>
      </c>
      <c r="B75" t="s">
        <v>91</v>
      </c>
      <c r="C75" t="s">
        <v>277</v>
      </c>
      <c r="D75" t="s">
        <v>403</v>
      </c>
      <c r="I75">
        <v>5000</v>
      </c>
      <c r="K75" t="s">
        <v>494</v>
      </c>
      <c r="L75">
        <f>HYPERLINK("https://maps.cookcountyil.gov/cookviewer/?search=10836 S GREEN BAY AVE", "10836 S GREEN BAY AVE")</f>
        <v>0</v>
      </c>
      <c r="N75" t="s">
        <v>606</v>
      </c>
      <c r="P75" t="s">
        <v>675</v>
      </c>
      <c r="Q75" t="s">
        <v>855</v>
      </c>
      <c r="U75">
        <f>HYPERLINK("https://www.cookcountyassessoril.gov/pin/26182130770000", "26-18-213-077-0000")</f>
        <v>0</v>
      </c>
      <c r="V75" t="s">
        <v>968</v>
      </c>
    </row>
    <row r="76" spans="1:22">
      <c r="A76">
        <v>75</v>
      </c>
      <c r="B76" t="s">
        <v>92</v>
      </c>
      <c r="C76" t="s">
        <v>278</v>
      </c>
      <c r="D76" t="s">
        <v>403</v>
      </c>
      <c r="I76">
        <v>10480</v>
      </c>
      <c r="K76" t="s">
        <v>495</v>
      </c>
      <c r="L76">
        <f>HYPERLINK("https://maps.cookcountyil.gov/cookviewer/?search=3764 N OKETO AVE", "3764 N OKETO AVE")</f>
        <v>0</v>
      </c>
      <c r="N76" t="s">
        <v>606</v>
      </c>
      <c r="P76" t="s">
        <v>676</v>
      </c>
      <c r="Q76" t="s">
        <v>856</v>
      </c>
      <c r="U76">
        <f>HYPERLINK("https://www.cookcountyassessoril.gov/pin/12242200480000", "12-24-220-048-0000")</f>
        <v>0</v>
      </c>
      <c r="V76" t="s">
        <v>968</v>
      </c>
    </row>
    <row r="77" spans="1:22">
      <c r="A77">
        <v>76</v>
      </c>
      <c r="B77" t="s">
        <v>90</v>
      </c>
      <c r="C77" t="s">
        <v>279</v>
      </c>
      <c r="D77" t="s">
        <v>413</v>
      </c>
      <c r="I77">
        <v>5000</v>
      </c>
      <c r="K77" t="s">
        <v>493</v>
      </c>
      <c r="L77">
        <f>HYPERLINK("https://maps.cookcountyil.gov/cookviewer/?search=6100 N KILPATRICK AVE", "6100 N KILPATRICK AVE")</f>
        <v>0</v>
      </c>
      <c r="N77" t="s">
        <v>606</v>
      </c>
      <c r="P77" t="s">
        <v>674</v>
      </c>
      <c r="Q77" t="s">
        <v>857</v>
      </c>
      <c r="U77">
        <f>HYPERLINK("https://www.cookcountyassessoril.gov/pin/13031190390000", "13-03-119-039-0000")</f>
        <v>0</v>
      </c>
      <c r="V77" t="s">
        <v>968</v>
      </c>
    </row>
    <row r="78" spans="1:22">
      <c r="A78">
        <v>77</v>
      </c>
      <c r="B78" t="s">
        <v>93</v>
      </c>
      <c r="C78" t="s">
        <v>280</v>
      </c>
      <c r="D78" t="s">
        <v>416</v>
      </c>
      <c r="I78">
        <v>4000</v>
      </c>
      <c r="K78" t="s">
        <v>496</v>
      </c>
      <c r="L78">
        <f>HYPERLINK("https://maps.cookcountyil.gov/cookviewer/?search=1854 N PULASKI RD", "1854 N PULASKI RD")</f>
        <v>0</v>
      </c>
      <c r="N78" t="s">
        <v>606</v>
      </c>
      <c r="P78" t="s">
        <v>677</v>
      </c>
      <c r="Q78" t="s">
        <v>858</v>
      </c>
      <c r="U78">
        <f>HYPERLINK("https://www.cookcountyassessoril.gov/pin/13344150190000", "13-34-415-019-0000")</f>
        <v>0</v>
      </c>
      <c r="V78" t="s">
        <v>968</v>
      </c>
    </row>
    <row r="79" spans="1:22">
      <c r="A79">
        <v>78</v>
      </c>
      <c r="B79" t="s">
        <v>94</v>
      </c>
      <c r="C79" t="s">
        <v>281</v>
      </c>
      <c r="D79" t="s">
        <v>417</v>
      </c>
      <c r="I79">
        <v>1000</v>
      </c>
      <c r="K79" t="s">
        <v>497</v>
      </c>
      <c r="L79">
        <f>HYPERLINK("https://maps.cookcountyil.gov/cookviewer/?search=2013 W 35TH ST", "2013 W 35TH ST")</f>
        <v>0</v>
      </c>
      <c r="N79" t="s">
        <v>606</v>
      </c>
      <c r="P79" t="s">
        <v>678</v>
      </c>
      <c r="Q79" t="s">
        <v>859</v>
      </c>
      <c r="U79">
        <f>HYPERLINK("https://www.cookcountyassessoril.gov/pin/17313070060000", "17-31-307-006-0000")</f>
        <v>0</v>
      </c>
      <c r="V79" t="s">
        <v>968</v>
      </c>
    </row>
    <row r="80" spans="1:22">
      <c r="A80">
        <v>79</v>
      </c>
      <c r="B80" t="s">
        <v>95</v>
      </c>
      <c r="C80" t="s">
        <v>282</v>
      </c>
      <c r="D80" t="s">
        <v>411</v>
      </c>
      <c r="I80">
        <v>22800</v>
      </c>
      <c r="K80" t="s">
        <v>498</v>
      </c>
      <c r="L80">
        <f>HYPERLINK("https://maps.cookcountyil.gov/cookviewer/?search=1927 N LAWNDALE AVE", "1927 N LAWNDALE AVE")</f>
        <v>0</v>
      </c>
      <c r="N80" t="s">
        <v>606</v>
      </c>
      <c r="P80" t="s">
        <v>679</v>
      </c>
      <c r="Q80" t="s">
        <v>860</v>
      </c>
      <c r="U80">
        <f>HYPERLINK("https://www.cookcountyassessoril.gov/pin/13353050180000", "13-35-305-018-0000")</f>
        <v>0</v>
      </c>
      <c r="V80" t="s">
        <v>969</v>
      </c>
    </row>
    <row r="81" spans="1:22">
      <c r="A81">
        <v>80</v>
      </c>
      <c r="B81" t="s">
        <v>96</v>
      </c>
      <c r="C81" t="s">
        <v>283</v>
      </c>
      <c r="D81" t="s">
        <v>419</v>
      </c>
      <c r="I81">
        <v>28830</v>
      </c>
      <c r="K81" t="s">
        <v>499</v>
      </c>
      <c r="L81">
        <f>HYPERLINK("https://maps.cookcountyil.gov/cookviewer/?search=9113 S PHILLIPS AVE", "9113 S PHILLIPS AVE")</f>
        <v>0</v>
      </c>
      <c r="N81" t="s">
        <v>606</v>
      </c>
      <c r="P81" t="s">
        <v>680</v>
      </c>
      <c r="Q81" t="s">
        <v>816</v>
      </c>
      <c r="U81">
        <f>HYPERLINK("https://www.cookcountyassessoril.gov/pin/26063010060000", "26-06-301-006-0000")</f>
        <v>0</v>
      </c>
      <c r="V81" t="s">
        <v>969</v>
      </c>
    </row>
    <row r="82" spans="1:22">
      <c r="A82">
        <v>81</v>
      </c>
      <c r="B82" t="s">
        <v>97</v>
      </c>
      <c r="C82" t="s">
        <v>284</v>
      </c>
      <c r="D82" t="s">
        <v>403</v>
      </c>
      <c r="I82">
        <v>19022</v>
      </c>
      <c r="K82" t="s">
        <v>500</v>
      </c>
      <c r="L82">
        <f>HYPERLINK("https://maps.cookcountyil.gov/cookviewer/?search=223 W 111TH PL", "223 W 111TH PL")</f>
        <v>0</v>
      </c>
      <c r="N82" t="s">
        <v>606</v>
      </c>
      <c r="P82" t="s">
        <v>681</v>
      </c>
      <c r="Q82" t="s">
        <v>861</v>
      </c>
      <c r="U82">
        <f>HYPERLINK("https://www.cookcountyassessoril.gov/pin/25212050120000", "25-21-205-012-0000")</f>
        <v>0</v>
      </c>
      <c r="V82" t="s">
        <v>969</v>
      </c>
    </row>
    <row r="83" spans="1:22">
      <c r="A83">
        <v>82</v>
      </c>
      <c r="B83" t="s">
        <v>98</v>
      </c>
      <c r="C83" t="s">
        <v>285</v>
      </c>
      <c r="D83" t="s">
        <v>403</v>
      </c>
      <c r="I83">
        <v>6900</v>
      </c>
      <c r="K83" t="s">
        <v>501</v>
      </c>
      <c r="L83">
        <f>HYPERLINK("https://maps.cookcountyil.gov/cookviewer/?search=1403 W RASCHER AVE", "1403 W RASCHER AVE")</f>
        <v>0</v>
      </c>
      <c r="N83" t="s">
        <v>606</v>
      </c>
      <c r="P83" t="s">
        <v>682</v>
      </c>
      <c r="Q83" t="s">
        <v>862</v>
      </c>
      <c r="U83" t="s">
        <v>967</v>
      </c>
      <c r="V83" t="s">
        <v>968</v>
      </c>
    </row>
    <row r="84" spans="1:22">
      <c r="A84">
        <v>83</v>
      </c>
      <c r="B84" t="s">
        <v>99</v>
      </c>
      <c r="C84" t="s">
        <v>286</v>
      </c>
      <c r="D84" t="s">
        <v>403</v>
      </c>
      <c r="I84">
        <v>14439</v>
      </c>
      <c r="K84" t="s">
        <v>502</v>
      </c>
      <c r="L84">
        <f>HYPERLINK("https://maps.cookcountyil.gov/cookviewer/?search=4849 N MOBILE AVE", "4849 N MOBILE AVE")</f>
        <v>0</v>
      </c>
      <c r="N84" t="s">
        <v>606</v>
      </c>
      <c r="P84" t="s">
        <v>683</v>
      </c>
      <c r="Q84" t="s">
        <v>863</v>
      </c>
      <c r="U84">
        <f>HYPERLINK("https://www.cookcountyassessoril.gov/pin/13083180260000", "13-08-318-026-0000")</f>
        <v>0</v>
      </c>
      <c r="V84" t="s">
        <v>968</v>
      </c>
    </row>
    <row r="85" spans="1:22">
      <c r="A85">
        <v>84</v>
      </c>
      <c r="B85" t="s">
        <v>100</v>
      </c>
      <c r="C85" t="s">
        <v>287</v>
      </c>
      <c r="D85" t="s">
        <v>403</v>
      </c>
      <c r="I85">
        <v>10000</v>
      </c>
      <c r="K85" t="s">
        <v>503</v>
      </c>
      <c r="L85">
        <f>HYPERLINK("https://maps.cookcountyil.gov/cookviewer/?search=138 E 117TH PL", "138 E 117TH PL")</f>
        <v>0</v>
      </c>
      <c r="N85" t="s">
        <v>606</v>
      </c>
      <c r="P85" t="s">
        <v>684</v>
      </c>
      <c r="Q85" t="s">
        <v>864</v>
      </c>
      <c r="U85">
        <f>HYPERLINK("https://www.cookcountyassessoril.gov/pin/25223100330000", "25-22-310-033-0000")</f>
        <v>0</v>
      </c>
      <c r="V85" t="s">
        <v>969</v>
      </c>
    </row>
    <row r="86" spans="1:22">
      <c r="A86">
        <v>85</v>
      </c>
      <c r="B86" t="s">
        <v>101</v>
      </c>
      <c r="C86" t="s">
        <v>288</v>
      </c>
      <c r="D86" t="s">
        <v>403</v>
      </c>
      <c r="I86">
        <v>5700</v>
      </c>
      <c r="K86" t="s">
        <v>504</v>
      </c>
      <c r="L86">
        <f>HYPERLINK("https://maps.cookcountyil.gov/cookviewer/?search=5931 S NAGLE AVE", "5931 S NAGLE AVE")</f>
        <v>0</v>
      </c>
      <c r="N86" t="s">
        <v>606</v>
      </c>
      <c r="P86" t="s">
        <v>685</v>
      </c>
      <c r="Q86" t="s">
        <v>865</v>
      </c>
      <c r="U86">
        <f>HYPERLINK("https://www.cookcountyassessoril.gov/pin/19184330310000", "19-18-433-031-0000")</f>
        <v>0</v>
      </c>
      <c r="V86" t="s">
        <v>968</v>
      </c>
    </row>
    <row r="87" spans="1:22">
      <c r="A87">
        <v>86</v>
      </c>
      <c r="B87" t="s">
        <v>102</v>
      </c>
      <c r="C87" t="s">
        <v>289</v>
      </c>
      <c r="D87" t="s">
        <v>413</v>
      </c>
      <c r="I87">
        <v>900000</v>
      </c>
      <c r="K87" t="s">
        <v>505</v>
      </c>
      <c r="L87">
        <f>HYPERLINK("https://maps.cookcountyil.gov/cookviewer/?search=350 E CERMAK RD", "350 E CERMAK RD")</f>
        <v>0</v>
      </c>
      <c r="N87" t="s">
        <v>606</v>
      </c>
      <c r="P87" t="s">
        <v>686</v>
      </c>
      <c r="Q87" t="s">
        <v>866</v>
      </c>
      <c r="U87">
        <f>HYPERLINK("https://www.cookcountyassessoril.gov/pin/17223220030000", "17-22-322-003-0000")</f>
        <v>0</v>
      </c>
      <c r="V87" t="s">
        <v>968</v>
      </c>
    </row>
    <row r="88" spans="1:22">
      <c r="A88">
        <v>87</v>
      </c>
      <c r="B88" t="s">
        <v>103</v>
      </c>
      <c r="C88" t="s">
        <v>290</v>
      </c>
      <c r="D88" t="s">
        <v>403</v>
      </c>
      <c r="I88">
        <v>20580</v>
      </c>
      <c r="K88" t="s">
        <v>506</v>
      </c>
      <c r="L88">
        <f>HYPERLINK("https://maps.cookcountyil.gov/cookviewer/?search=6937 S TALMAN AVE", "6937 S TALMAN AVE")</f>
        <v>0</v>
      </c>
      <c r="N88" t="s">
        <v>606</v>
      </c>
      <c r="P88" t="s">
        <v>687</v>
      </c>
      <c r="Q88" t="s">
        <v>867</v>
      </c>
      <c r="U88">
        <f>HYPERLINK("https://www.cookcountyassessoril.gov/pin/19244160190000", "19-24-416-019-0000")</f>
        <v>0</v>
      </c>
      <c r="V88" t="s">
        <v>969</v>
      </c>
    </row>
    <row r="89" spans="1:22">
      <c r="A89">
        <v>88</v>
      </c>
      <c r="B89" t="s">
        <v>104</v>
      </c>
      <c r="C89" t="s">
        <v>291</v>
      </c>
      <c r="D89" t="s">
        <v>409</v>
      </c>
      <c r="I89">
        <v>5000</v>
      </c>
      <c r="K89" t="s">
        <v>507</v>
      </c>
      <c r="L89">
        <f>HYPERLINK("https://maps.cookcountyil.gov/cookviewer/?search=7708 S SOUTH SHORE DR", "7708 S SOUTH SHORE DR")</f>
        <v>0</v>
      </c>
      <c r="N89" t="s">
        <v>606</v>
      </c>
      <c r="P89" t="s">
        <v>688</v>
      </c>
      <c r="Q89" t="s">
        <v>868</v>
      </c>
      <c r="U89">
        <f>HYPERLINK("https://www.cookcountyassessoril.gov/pin/21304120240000", "21-30-412-024-0000")</f>
        <v>0</v>
      </c>
      <c r="V89" t="s">
        <v>968</v>
      </c>
    </row>
    <row r="90" spans="1:22">
      <c r="A90">
        <v>89</v>
      </c>
      <c r="B90" t="s">
        <v>105</v>
      </c>
      <c r="C90" t="s">
        <v>292</v>
      </c>
      <c r="D90" t="s">
        <v>403</v>
      </c>
      <c r="I90">
        <v>15127</v>
      </c>
      <c r="K90" t="s">
        <v>508</v>
      </c>
      <c r="L90">
        <f>HYPERLINK("https://maps.cookcountyil.gov/cookviewer/?search=4922 S LEAMINGTON AVE", "4922 S LEAMINGTON AVE")</f>
        <v>0</v>
      </c>
      <c r="N90" t="s">
        <v>606</v>
      </c>
      <c r="P90" t="s">
        <v>689</v>
      </c>
      <c r="Q90" t="s">
        <v>869</v>
      </c>
      <c r="U90">
        <f>HYPERLINK("https://www.cookcountyassessoril.gov/pin/19092160290000", "19-09-216-029-0000")</f>
        <v>0</v>
      </c>
      <c r="V90" t="s">
        <v>969</v>
      </c>
    </row>
    <row r="91" spans="1:22">
      <c r="A91">
        <v>90</v>
      </c>
      <c r="B91" t="s">
        <v>106</v>
      </c>
      <c r="C91" t="s">
        <v>293</v>
      </c>
      <c r="D91" t="s">
        <v>404</v>
      </c>
      <c r="I91">
        <v>12000</v>
      </c>
      <c r="K91" t="s">
        <v>509</v>
      </c>
      <c r="L91">
        <f>HYPERLINK("https://maps.cookcountyil.gov/cookviewer/?search=2537 N TRIPP AVE", "2537 N TRIPP AVE")</f>
        <v>0</v>
      </c>
      <c r="N91" t="s">
        <v>606</v>
      </c>
      <c r="P91" t="s">
        <v>690</v>
      </c>
      <c r="Q91" t="s">
        <v>870</v>
      </c>
      <c r="U91">
        <f>HYPERLINK("https://www.cookcountyassessoril.gov/pin/13274140030000", "13-27-414-003-0000")</f>
        <v>0</v>
      </c>
      <c r="V91" t="s">
        <v>969</v>
      </c>
    </row>
    <row r="92" spans="1:22">
      <c r="A92">
        <v>91</v>
      </c>
      <c r="B92" t="s">
        <v>107</v>
      </c>
      <c r="C92" t="s">
        <v>294</v>
      </c>
      <c r="D92" t="s">
        <v>411</v>
      </c>
      <c r="I92">
        <v>5782</v>
      </c>
      <c r="K92" t="s">
        <v>510</v>
      </c>
      <c r="L92">
        <f>HYPERLINK("https://maps.cookcountyil.gov/cookviewer/?search=8153 S ST LAWRENCE AVE", "8153 S ST LAWRENCE AVE")</f>
        <v>0</v>
      </c>
      <c r="N92" t="s">
        <v>606</v>
      </c>
      <c r="P92" t="s">
        <v>691</v>
      </c>
      <c r="Q92" t="s">
        <v>871</v>
      </c>
      <c r="U92" t="s">
        <v>967</v>
      </c>
      <c r="V92" t="s">
        <v>968</v>
      </c>
    </row>
    <row r="93" spans="1:22">
      <c r="A93">
        <v>92</v>
      </c>
      <c r="B93" t="s">
        <v>105</v>
      </c>
      <c r="C93" t="s">
        <v>295</v>
      </c>
      <c r="D93" t="s">
        <v>403</v>
      </c>
      <c r="I93">
        <v>5000</v>
      </c>
      <c r="K93" t="s">
        <v>508</v>
      </c>
      <c r="L93">
        <f>HYPERLINK("https://maps.cookcountyil.gov/cookviewer/?search=4922 S LEAMINGTON AVE", "4922 S LEAMINGTON AVE")</f>
        <v>0</v>
      </c>
      <c r="N93" t="s">
        <v>606</v>
      </c>
      <c r="P93" t="s">
        <v>689</v>
      </c>
      <c r="Q93" t="s">
        <v>833</v>
      </c>
      <c r="U93">
        <f>HYPERLINK("https://www.cookcountyassessoril.gov/pin/19092160290000", "19-09-216-029-0000")</f>
        <v>0</v>
      </c>
      <c r="V93" t="s">
        <v>968</v>
      </c>
    </row>
    <row r="94" spans="1:22">
      <c r="A94">
        <v>93</v>
      </c>
      <c r="B94" t="s">
        <v>108</v>
      </c>
      <c r="C94" t="s">
        <v>296</v>
      </c>
      <c r="D94" t="s">
        <v>412</v>
      </c>
      <c r="I94">
        <v>750</v>
      </c>
      <c r="K94" t="s">
        <v>511</v>
      </c>
      <c r="L94">
        <f>HYPERLINK("https://maps.cookcountyil.gov/cookviewer/?search=6619 S MARYLAND AVE", "6619 S MARYLAND AVE")</f>
        <v>0</v>
      </c>
      <c r="N94" t="s">
        <v>606</v>
      </c>
      <c r="P94" t="s">
        <v>692</v>
      </c>
      <c r="Q94" t="s">
        <v>872</v>
      </c>
      <c r="U94">
        <f>HYPERLINK("https://www.cookcountyassessoril.gov/pin/20231210070000", "20-23-121-007-0000")</f>
        <v>0</v>
      </c>
      <c r="V94" t="s">
        <v>968</v>
      </c>
    </row>
    <row r="95" spans="1:22">
      <c r="A95">
        <v>94</v>
      </c>
      <c r="B95" t="s">
        <v>109</v>
      </c>
      <c r="C95" t="s">
        <v>297</v>
      </c>
      <c r="D95" t="s">
        <v>411</v>
      </c>
      <c r="I95">
        <v>35500</v>
      </c>
      <c r="K95" t="s">
        <v>512</v>
      </c>
      <c r="L95">
        <f>HYPERLINK("https://maps.cookcountyil.gov/cookviewer/?search=680 N LAKE SHORE DR", "680 N LAKE SHORE DR")</f>
        <v>0</v>
      </c>
      <c r="N95" t="s">
        <v>606</v>
      </c>
      <c r="P95" t="s">
        <v>693</v>
      </c>
      <c r="Q95" t="s">
        <v>873</v>
      </c>
      <c r="U95">
        <f>HYPERLINK("https://www.cookcountyassessoril.gov/pin/17102020780000", "17-10-202-078-0000")</f>
        <v>0</v>
      </c>
      <c r="V95" t="s">
        <v>968</v>
      </c>
    </row>
    <row r="96" spans="1:22">
      <c r="A96">
        <v>95</v>
      </c>
      <c r="B96" t="s">
        <v>110</v>
      </c>
      <c r="C96" t="s">
        <v>298</v>
      </c>
      <c r="D96" t="s">
        <v>411</v>
      </c>
      <c r="I96">
        <v>10200</v>
      </c>
      <c r="K96" t="s">
        <v>513</v>
      </c>
      <c r="L96">
        <f>HYPERLINK("https://maps.cookcountyil.gov/cookviewer/?search=436 E 47TH ST", "436 E 47TH ST")</f>
        <v>0</v>
      </c>
      <c r="N96" t="s">
        <v>606</v>
      </c>
      <c r="P96" t="s">
        <v>694</v>
      </c>
      <c r="Q96" t="s">
        <v>874</v>
      </c>
      <c r="U96" t="s">
        <v>967</v>
      </c>
      <c r="V96" t="s">
        <v>968</v>
      </c>
    </row>
    <row r="97" spans="1:22">
      <c r="A97">
        <v>96</v>
      </c>
      <c r="B97" t="s">
        <v>111</v>
      </c>
      <c r="C97" t="s">
        <v>299</v>
      </c>
      <c r="D97" t="s">
        <v>420</v>
      </c>
      <c r="I97">
        <v>70000</v>
      </c>
      <c r="K97" t="s">
        <v>514</v>
      </c>
      <c r="L97">
        <f>HYPERLINK("https://maps.cookcountyil.gov/cookviewer/?search=1345 W MADISON ST", "1345 W MADISON ST")</f>
        <v>0</v>
      </c>
      <c r="N97" t="s">
        <v>606</v>
      </c>
      <c r="P97" t="s">
        <v>695</v>
      </c>
      <c r="Q97" t="s">
        <v>875</v>
      </c>
      <c r="U97" t="s">
        <v>967</v>
      </c>
      <c r="V97" t="s">
        <v>969</v>
      </c>
    </row>
    <row r="98" spans="1:22">
      <c r="A98">
        <v>97</v>
      </c>
      <c r="B98" t="s">
        <v>112</v>
      </c>
      <c r="C98" t="s">
        <v>300</v>
      </c>
      <c r="D98" t="s">
        <v>407</v>
      </c>
      <c r="I98">
        <v>68988</v>
      </c>
      <c r="K98" t="s">
        <v>515</v>
      </c>
      <c r="L98">
        <f>HYPERLINK("https://maps.cookcountyil.gov/cookviewer/?search=1344 N ELSTON AVE", "1344 N ELSTON AVE")</f>
        <v>0</v>
      </c>
      <c r="N98" t="s">
        <v>606</v>
      </c>
      <c r="P98" t="s">
        <v>696</v>
      </c>
      <c r="Q98" t="s">
        <v>876</v>
      </c>
      <c r="U98">
        <f>HYPERLINK("https://www.cookcountyassessoril.gov/pin/17051190190000", "17-05-119-019-0000")</f>
        <v>0</v>
      </c>
      <c r="V98" t="s">
        <v>969</v>
      </c>
    </row>
    <row r="99" spans="1:22">
      <c r="A99">
        <v>98</v>
      </c>
      <c r="B99" t="s">
        <v>113</v>
      </c>
      <c r="C99" t="s">
        <v>301</v>
      </c>
      <c r="D99" t="s">
        <v>404</v>
      </c>
      <c r="I99">
        <v>2500</v>
      </c>
      <c r="K99" t="s">
        <v>516</v>
      </c>
      <c r="L99">
        <f>HYPERLINK("https://maps.cookcountyil.gov/cookviewer/?search=6516 W FOSTER AVE", "6516 W FOSTER AVE")</f>
        <v>0</v>
      </c>
      <c r="N99" t="s">
        <v>606</v>
      </c>
      <c r="P99" t="s">
        <v>697</v>
      </c>
      <c r="Q99" t="s">
        <v>877</v>
      </c>
      <c r="U99">
        <f>HYPERLINK("https://www.cookcountyassessoril.gov/pin/13072310340000", "13-07-231-034-0000")</f>
        <v>0</v>
      </c>
      <c r="V99" t="s">
        <v>968</v>
      </c>
    </row>
    <row r="100" spans="1:22">
      <c r="A100">
        <v>99</v>
      </c>
      <c r="B100" t="s">
        <v>114</v>
      </c>
      <c r="C100" t="s">
        <v>302</v>
      </c>
      <c r="D100" t="s">
        <v>414</v>
      </c>
      <c r="I100">
        <v>20000</v>
      </c>
      <c r="K100" t="s">
        <v>517</v>
      </c>
      <c r="L100">
        <f>HYPERLINK("https://maps.cookcountyil.gov/cookviewer/?search=4338 N WINCHESTER AVE", "4338 N WINCHESTER AVE")</f>
        <v>0</v>
      </c>
      <c r="N100" t="s">
        <v>606</v>
      </c>
      <c r="P100" t="s">
        <v>698</v>
      </c>
      <c r="Q100" t="s">
        <v>878</v>
      </c>
      <c r="U100">
        <f>HYPERLINK("https://www.cookcountyassessoril.gov/pin/14184000210000", "14-18-400-021-0000")</f>
        <v>0</v>
      </c>
      <c r="V100" t="s">
        <v>968</v>
      </c>
    </row>
    <row r="101" spans="1:22">
      <c r="A101">
        <v>100</v>
      </c>
      <c r="B101" t="s">
        <v>113</v>
      </c>
      <c r="C101" t="s">
        <v>303</v>
      </c>
      <c r="D101" t="s">
        <v>418</v>
      </c>
      <c r="I101">
        <v>8500</v>
      </c>
      <c r="K101" t="s">
        <v>516</v>
      </c>
      <c r="L101">
        <f>HYPERLINK("https://maps.cookcountyil.gov/cookviewer/?search=6516 W FOSTER AVE", "6516 W FOSTER AVE")</f>
        <v>0</v>
      </c>
      <c r="N101" t="s">
        <v>606</v>
      </c>
      <c r="P101" t="s">
        <v>697</v>
      </c>
      <c r="Q101" t="s">
        <v>879</v>
      </c>
      <c r="U101">
        <f>HYPERLINK("https://www.cookcountyassessoril.gov/pin/13072310340000", "13-07-231-034-0000")</f>
        <v>0</v>
      </c>
      <c r="V101" t="s">
        <v>968</v>
      </c>
    </row>
    <row r="102" spans="1:22">
      <c r="A102">
        <v>101</v>
      </c>
      <c r="B102" t="s">
        <v>115</v>
      </c>
      <c r="C102" t="s">
        <v>304</v>
      </c>
      <c r="D102" t="s">
        <v>418</v>
      </c>
      <c r="I102">
        <v>2000</v>
      </c>
      <c r="K102" t="s">
        <v>518</v>
      </c>
      <c r="L102">
        <f>HYPERLINK("https://maps.cookcountyil.gov/cookviewer/?search=3806 S INDIANA AVE", "3806 S INDIANA AVE")</f>
        <v>0</v>
      </c>
      <c r="N102" t="s">
        <v>606</v>
      </c>
      <c r="P102" t="s">
        <v>699</v>
      </c>
      <c r="Q102" t="s">
        <v>880</v>
      </c>
      <c r="U102">
        <f>HYPERLINK("https://www.cookcountyassessoril.gov/pin/17343230470000", "17-34-323-047-0000")</f>
        <v>0</v>
      </c>
      <c r="V102" t="s">
        <v>968</v>
      </c>
    </row>
    <row r="103" spans="1:22">
      <c r="A103">
        <v>102</v>
      </c>
      <c r="B103" t="s">
        <v>113</v>
      </c>
      <c r="C103" t="s">
        <v>305</v>
      </c>
      <c r="D103" t="s">
        <v>404</v>
      </c>
      <c r="I103">
        <v>10000</v>
      </c>
      <c r="K103" t="s">
        <v>516</v>
      </c>
      <c r="L103">
        <f>HYPERLINK("https://maps.cookcountyil.gov/cookviewer/?search=6516 W FOSTER AVE", "6516 W FOSTER AVE")</f>
        <v>0</v>
      </c>
      <c r="N103" t="s">
        <v>606</v>
      </c>
      <c r="P103" t="s">
        <v>697</v>
      </c>
      <c r="Q103" t="s">
        <v>881</v>
      </c>
      <c r="U103">
        <f>HYPERLINK("https://www.cookcountyassessoril.gov/pin/13072310340000", "13-07-231-034-0000")</f>
        <v>0</v>
      </c>
      <c r="V103" t="s">
        <v>968</v>
      </c>
    </row>
    <row r="104" spans="1:22">
      <c r="A104">
        <v>103</v>
      </c>
      <c r="B104" t="s">
        <v>116</v>
      </c>
      <c r="C104" t="s">
        <v>306</v>
      </c>
      <c r="D104" t="s">
        <v>416</v>
      </c>
      <c r="I104">
        <v>92000</v>
      </c>
      <c r="K104" t="s">
        <v>519</v>
      </c>
      <c r="L104">
        <f>HYPERLINK("https://maps.cookcountyil.gov/cookviewer/?search=5454 S STATE ST", "5454 S STATE ST")</f>
        <v>0</v>
      </c>
      <c r="N104" t="s">
        <v>606</v>
      </c>
      <c r="P104" t="s">
        <v>700</v>
      </c>
      <c r="Q104" t="s">
        <v>882</v>
      </c>
      <c r="U104">
        <f>HYPERLINK("https://www.cookcountyassessoril.gov/pin/20094230850000", "20-09-423-085-0000")</f>
        <v>0</v>
      </c>
      <c r="V104" t="s">
        <v>968</v>
      </c>
    </row>
    <row r="105" spans="1:22">
      <c r="A105">
        <v>104</v>
      </c>
      <c r="B105" t="s">
        <v>117</v>
      </c>
      <c r="C105" t="s">
        <v>307</v>
      </c>
      <c r="D105" t="s">
        <v>407</v>
      </c>
      <c r="I105">
        <v>1688</v>
      </c>
      <c r="K105" t="s">
        <v>520</v>
      </c>
      <c r="L105">
        <f>HYPERLINK("https://maps.cookcountyil.gov/cookviewer/?search=11425 S ST LAWRENCE AVE", "11425 S ST LAWRENCE AVE")</f>
        <v>0</v>
      </c>
      <c r="N105" t="s">
        <v>606</v>
      </c>
      <c r="P105" t="s">
        <v>701</v>
      </c>
      <c r="Q105" t="s">
        <v>883</v>
      </c>
      <c r="U105" t="s">
        <v>967</v>
      </c>
      <c r="V105" t="s">
        <v>968</v>
      </c>
    </row>
    <row r="106" spans="1:22">
      <c r="A106">
        <v>105</v>
      </c>
      <c r="B106" t="s">
        <v>118</v>
      </c>
      <c r="C106" t="s">
        <v>308</v>
      </c>
      <c r="D106" t="s">
        <v>403</v>
      </c>
      <c r="I106">
        <v>5600</v>
      </c>
      <c r="K106" t="s">
        <v>521</v>
      </c>
      <c r="L106">
        <f>HYPERLINK("https://maps.cookcountyil.gov/cookviewer/?search=5120 N KILBOURN AVE", "5120 N KILBOURN AVE")</f>
        <v>0</v>
      </c>
      <c r="N106" t="s">
        <v>606</v>
      </c>
      <c r="P106" t="s">
        <v>702</v>
      </c>
      <c r="Q106" t="s">
        <v>884</v>
      </c>
      <c r="U106">
        <f>HYPERLINK("https://www.cookcountyassessoril.gov/pin/13103040330000", "13-10-304-033-0000")</f>
        <v>0</v>
      </c>
      <c r="V106" t="s">
        <v>968</v>
      </c>
    </row>
    <row r="107" spans="1:22">
      <c r="A107">
        <v>106</v>
      </c>
      <c r="B107" t="s">
        <v>119</v>
      </c>
      <c r="C107" t="s">
        <v>309</v>
      </c>
      <c r="D107" t="s">
        <v>403</v>
      </c>
      <c r="I107">
        <v>2350</v>
      </c>
      <c r="K107" t="s">
        <v>522</v>
      </c>
      <c r="L107">
        <f>HYPERLINK("https://maps.cookcountyil.gov/cookviewer/?search=7229 N PAULINA ST", "7229 N PAULINA ST")</f>
        <v>0</v>
      </c>
      <c r="N107" t="s">
        <v>606</v>
      </c>
      <c r="P107" t="s">
        <v>703</v>
      </c>
      <c r="Q107" t="s">
        <v>885</v>
      </c>
      <c r="U107" t="s">
        <v>967</v>
      </c>
      <c r="V107" t="s">
        <v>968</v>
      </c>
    </row>
    <row r="108" spans="1:22">
      <c r="A108">
        <v>107</v>
      </c>
      <c r="B108" t="s">
        <v>120</v>
      </c>
      <c r="C108" t="s">
        <v>310</v>
      </c>
      <c r="D108" t="s">
        <v>411</v>
      </c>
      <c r="I108">
        <v>28370</v>
      </c>
      <c r="K108" t="s">
        <v>523</v>
      </c>
      <c r="L108">
        <f>HYPERLINK("https://maps.cookcountyil.gov/cookviewer/?search=8026 S CONSTANCE AVE", "8026 S CONSTANCE AVE")</f>
        <v>0</v>
      </c>
      <c r="N108" t="s">
        <v>606</v>
      </c>
      <c r="P108" t="s">
        <v>704</v>
      </c>
      <c r="Q108" t="s">
        <v>886</v>
      </c>
      <c r="U108">
        <f>HYPERLINK("https://www.cookcountyassessoril.gov/pin/20361070200000", "20-36-107-020-0000")</f>
        <v>0</v>
      </c>
      <c r="V108" t="s">
        <v>969</v>
      </c>
    </row>
    <row r="109" spans="1:22">
      <c r="A109">
        <v>108</v>
      </c>
      <c r="B109" t="s">
        <v>121</v>
      </c>
      <c r="C109" t="s">
        <v>311</v>
      </c>
      <c r="D109" t="s">
        <v>403</v>
      </c>
      <c r="I109">
        <v>3000</v>
      </c>
      <c r="K109" t="s">
        <v>524</v>
      </c>
      <c r="L109">
        <f>HYPERLINK("https://maps.cookcountyil.gov/cookviewer/?search=2064 W 103RD ST", "2064 W 103RD ST")</f>
        <v>0</v>
      </c>
      <c r="N109" t="s">
        <v>606</v>
      </c>
      <c r="P109" t="s">
        <v>705</v>
      </c>
      <c r="Q109" t="s">
        <v>887</v>
      </c>
      <c r="U109">
        <f>HYPERLINK("https://www.cookcountyassessoril.gov/pin/25073270110000", "25-07-327-011-0000")</f>
        <v>0</v>
      </c>
      <c r="V109" t="s">
        <v>968</v>
      </c>
    </row>
    <row r="110" spans="1:22">
      <c r="A110">
        <v>109</v>
      </c>
      <c r="B110" t="s">
        <v>122</v>
      </c>
      <c r="C110" t="s">
        <v>312</v>
      </c>
      <c r="D110" t="s">
        <v>421</v>
      </c>
      <c r="I110">
        <v>4000</v>
      </c>
      <c r="K110" t="s">
        <v>525</v>
      </c>
      <c r="L110">
        <f>HYPERLINK("https://maps.cookcountyil.gov/cookviewer/?search=5728 N MCVICKER AVE", "5728 N MCVICKER AVE")</f>
        <v>0</v>
      </c>
      <c r="N110" t="s">
        <v>606</v>
      </c>
      <c r="P110" t="s">
        <v>706</v>
      </c>
      <c r="Q110" t="s">
        <v>888</v>
      </c>
      <c r="U110">
        <f>HYPERLINK("https://www.cookcountyassessoril.gov/pin/13053230290000", "13-05-323-029-0000")</f>
        <v>0</v>
      </c>
      <c r="V110" t="s">
        <v>968</v>
      </c>
    </row>
    <row r="111" spans="1:22">
      <c r="A111">
        <v>110</v>
      </c>
      <c r="B111" t="s">
        <v>123</v>
      </c>
      <c r="C111" t="s">
        <v>313</v>
      </c>
      <c r="D111" t="s">
        <v>416</v>
      </c>
      <c r="I111">
        <v>2000</v>
      </c>
      <c r="K111" t="s">
        <v>526</v>
      </c>
      <c r="L111">
        <f>HYPERLINK("https://maps.cookcountyil.gov/cookviewer/?search=2504 S PULASKI RD", "2504 S PULASKI RD")</f>
        <v>0</v>
      </c>
      <c r="N111" t="s">
        <v>606</v>
      </c>
      <c r="P111" t="s">
        <v>707</v>
      </c>
      <c r="Q111" t="s">
        <v>889</v>
      </c>
      <c r="U111">
        <f>HYPERLINK("https://www.cookcountyassessoril.gov/pin/16272300200000", "16-27-230-020-0000")</f>
        <v>0</v>
      </c>
      <c r="V111" t="s">
        <v>968</v>
      </c>
    </row>
    <row r="112" spans="1:22">
      <c r="A112">
        <v>111</v>
      </c>
      <c r="B112" t="s">
        <v>124</v>
      </c>
      <c r="C112" t="s">
        <v>314</v>
      </c>
      <c r="D112" t="s">
        <v>410</v>
      </c>
      <c r="I112">
        <v>24000</v>
      </c>
      <c r="K112" t="s">
        <v>527</v>
      </c>
      <c r="L112">
        <f>HYPERLINK("https://maps.cookcountyil.gov/cookviewer/?search=1723 N RICHMOND ST", "1723 N RICHMOND ST")</f>
        <v>0</v>
      </c>
      <c r="N112" t="s">
        <v>606</v>
      </c>
      <c r="P112" t="s">
        <v>708</v>
      </c>
      <c r="Q112" t="s">
        <v>890</v>
      </c>
      <c r="U112">
        <f>HYPERLINK("https://www.cookcountyassessoril.gov/pin/13363210100000", "13-36-321-010-0000")</f>
        <v>0</v>
      </c>
      <c r="V112" t="s">
        <v>969</v>
      </c>
    </row>
    <row r="113" spans="1:22">
      <c r="A113">
        <v>112</v>
      </c>
      <c r="B113" t="s">
        <v>125</v>
      </c>
      <c r="C113" t="s">
        <v>315</v>
      </c>
      <c r="D113" t="s">
        <v>413</v>
      </c>
      <c r="I113">
        <v>8500</v>
      </c>
      <c r="K113" t="s">
        <v>528</v>
      </c>
      <c r="L113">
        <f>HYPERLINK("https://maps.cookcountyil.gov/cookviewer/?search=5341 S MARYLAND AVE", "5341 S MARYLAND AVE")</f>
        <v>0</v>
      </c>
      <c r="N113" t="s">
        <v>606</v>
      </c>
      <c r="P113" t="s">
        <v>709</v>
      </c>
      <c r="Q113" t="s">
        <v>891</v>
      </c>
      <c r="U113">
        <f>HYPERLINK("https://www.cookcountyassessoril.gov/pin/20113140120000", "20-11-314-012-0000")</f>
        <v>0</v>
      </c>
      <c r="V113" t="s">
        <v>968</v>
      </c>
    </row>
    <row r="114" spans="1:22">
      <c r="A114">
        <v>113</v>
      </c>
      <c r="B114" t="s">
        <v>126</v>
      </c>
      <c r="C114" t="s">
        <v>316</v>
      </c>
      <c r="D114" t="s">
        <v>407</v>
      </c>
      <c r="I114">
        <v>3000</v>
      </c>
      <c r="K114" t="s">
        <v>529</v>
      </c>
      <c r="L114">
        <f>HYPERLINK("https://maps.cookcountyil.gov/cookviewer/?search=10827 S ARTESIAN AVE", "10827 S ARTESIAN AVE")</f>
        <v>0</v>
      </c>
      <c r="N114" t="s">
        <v>606</v>
      </c>
      <c r="P114" t="s">
        <v>710</v>
      </c>
      <c r="Q114" t="s">
        <v>892</v>
      </c>
      <c r="U114">
        <f>HYPERLINK("https://www.cookcountyassessoril.gov/pin/24134150110000", "24-13-415-011-0000")</f>
        <v>0</v>
      </c>
      <c r="V114" t="s">
        <v>968</v>
      </c>
    </row>
    <row r="115" spans="1:22">
      <c r="A115">
        <v>114</v>
      </c>
      <c r="B115" t="s">
        <v>127</v>
      </c>
      <c r="C115" t="s">
        <v>317</v>
      </c>
      <c r="D115" t="s">
        <v>412</v>
      </c>
      <c r="I115">
        <v>2500</v>
      </c>
      <c r="K115" t="s">
        <v>530</v>
      </c>
      <c r="L115">
        <f>HYPERLINK("https://maps.cookcountyil.gov/cookviewer/?search=9228 S COLFAX AVE", "9228 S COLFAX AVE")</f>
        <v>0</v>
      </c>
      <c r="N115" t="s">
        <v>606</v>
      </c>
      <c r="P115" t="s">
        <v>711</v>
      </c>
      <c r="Q115" t="s">
        <v>893</v>
      </c>
      <c r="U115">
        <f>HYPERLINK("https://www.cookcountyassessoril.gov/pin/26063100250000", "26-06-310-025-0000")</f>
        <v>0</v>
      </c>
      <c r="V115" t="s">
        <v>968</v>
      </c>
    </row>
    <row r="116" spans="1:22">
      <c r="A116">
        <v>115</v>
      </c>
      <c r="B116" t="s">
        <v>128</v>
      </c>
      <c r="C116" t="s">
        <v>318</v>
      </c>
      <c r="D116" t="s">
        <v>422</v>
      </c>
      <c r="I116">
        <v>100</v>
      </c>
      <c r="K116" t="s">
        <v>531</v>
      </c>
      <c r="L116">
        <f>HYPERLINK("https://maps.cookcountyil.gov/cookviewer/?search=11325 S LANGLEY AVE", "11325 S LANGLEY AVE")</f>
        <v>0</v>
      </c>
      <c r="N116" t="s">
        <v>606</v>
      </c>
      <c r="P116" t="s">
        <v>712</v>
      </c>
      <c r="Q116" t="s">
        <v>894</v>
      </c>
      <c r="U116" t="s">
        <v>967</v>
      </c>
      <c r="V116" t="s">
        <v>968</v>
      </c>
    </row>
    <row r="117" spans="1:22">
      <c r="A117">
        <v>116</v>
      </c>
      <c r="B117" t="s">
        <v>129</v>
      </c>
      <c r="C117" t="s">
        <v>319</v>
      </c>
      <c r="D117" t="s">
        <v>423</v>
      </c>
      <c r="I117">
        <v>4250</v>
      </c>
      <c r="K117" t="s">
        <v>532</v>
      </c>
      <c r="L117">
        <f>HYPERLINK("https://maps.cookcountyil.gov/cookviewer/?search=4838 W HUTCHINSON ST", "4838 W HUTCHINSON ST")</f>
        <v>0</v>
      </c>
      <c r="N117" t="s">
        <v>606</v>
      </c>
      <c r="P117" t="s">
        <v>713</v>
      </c>
      <c r="Q117" t="s">
        <v>895</v>
      </c>
      <c r="U117" t="s">
        <v>967</v>
      </c>
      <c r="V117" t="s">
        <v>968</v>
      </c>
    </row>
    <row r="118" spans="1:22">
      <c r="A118">
        <v>117</v>
      </c>
      <c r="B118" t="s">
        <v>130</v>
      </c>
      <c r="C118" t="s">
        <v>320</v>
      </c>
      <c r="D118" t="s">
        <v>423</v>
      </c>
      <c r="I118">
        <v>2690</v>
      </c>
      <c r="K118" t="s">
        <v>533</v>
      </c>
      <c r="L118">
        <f>HYPERLINK("https://maps.cookcountyil.gov/cookviewer/?search=1506 W THOME AVE", "1506 W THOME AVE")</f>
        <v>0</v>
      </c>
      <c r="N118" t="s">
        <v>606</v>
      </c>
      <c r="P118" t="s">
        <v>714</v>
      </c>
      <c r="Q118" t="s">
        <v>896</v>
      </c>
      <c r="U118">
        <f>HYPERLINK("https://www.cookcountyassessoril.gov/pin/14051080250000", "14-05-108-025-0000")</f>
        <v>0</v>
      </c>
      <c r="V118" t="s">
        <v>968</v>
      </c>
    </row>
    <row r="119" spans="1:22">
      <c r="A119">
        <v>118</v>
      </c>
      <c r="B119" t="s">
        <v>131</v>
      </c>
      <c r="C119" t="s">
        <v>321</v>
      </c>
      <c r="D119" t="s">
        <v>404</v>
      </c>
      <c r="I119">
        <v>6200</v>
      </c>
      <c r="K119" t="s">
        <v>534</v>
      </c>
      <c r="L119">
        <f>HYPERLINK("https://maps.cookcountyil.gov/cookviewer/?search=6815 S LANGLEY AVE", "6815 S LANGLEY AVE")</f>
        <v>0</v>
      </c>
      <c r="N119" t="s">
        <v>606</v>
      </c>
      <c r="P119" t="s">
        <v>715</v>
      </c>
      <c r="Q119" t="s">
        <v>897</v>
      </c>
      <c r="U119">
        <f>HYPERLINK("https://www.cookcountyassessoril.gov/pin/20224120080000", "20-22-412-008-0000"), =HYPERLINK("https://www.cookcountyassessoril.gov/pin/20224120070000", "20-22-412-007-0000")</f>
        <v>0</v>
      </c>
      <c r="V119" t="s">
        <v>968</v>
      </c>
    </row>
    <row r="120" spans="1:22">
      <c r="A120">
        <v>119</v>
      </c>
      <c r="B120" t="s">
        <v>132</v>
      </c>
      <c r="C120" t="s">
        <v>322</v>
      </c>
      <c r="D120" t="s">
        <v>411</v>
      </c>
      <c r="I120">
        <v>1000</v>
      </c>
      <c r="K120" t="s">
        <v>535</v>
      </c>
      <c r="L120">
        <f>HYPERLINK("https://maps.cookcountyil.gov/cookviewer/?search=2050 W CULLERTON ST", "2050 W CULLERTON ST")</f>
        <v>0</v>
      </c>
      <c r="N120" t="s">
        <v>606</v>
      </c>
      <c r="P120" t="s">
        <v>716</v>
      </c>
      <c r="Q120" t="s">
        <v>898</v>
      </c>
      <c r="U120" t="s">
        <v>967</v>
      </c>
      <c r="V120" t="s">
        <v>968</v>
      </c>
    </row>
    <row r="121" spans="1:22">
      <c r="A121">
        <v>120</v>
      </c>
      <c r="B121" t="s">
        <v>133</v>
      </c>
      <c r="C121" t="s">
        <v>323</v>
      </c>
      <c r="D121" t="s">
        <v>411</v>
      </c>
      <c r="I121">
        <v>34815</v>
      </c>
      <c r="K121" t="s">
        <v>536</v>
      </c>
      <c r="L121">
        <f>HYPERLINK("https://maps.cookcountyil.gov/cookviewer/?search=2111 N CLARK ST", "2111 N CLARK ST")</f>
        <v>0</v>
      </c>
      <c r="N121" t="s">
        <v>606</v>
      </c>
      <c r="P121" t="s">
        <v>717</v>
      </c>
      <c r="Q121" t="s">
        <v>899</v>
      </c>
      <c r="U121">
        <f>HYPERLINK("https://www.cookcountyassessoril.gov/pin/14332060160000", "14-33-206-016-0000")</f>
        <v>0</v>
      </c>
      <c r="V121" t="s">
        <v>968</v>
      </c>
    </row>
    <row r="122" spans="1:22">
      <c r="A122">
        <v>121</v>
      </c>
      <c r="B122" t="s">
        <v>134</v>
      </c>
      <c r="C122" t="s">
        <v>324</v>
      </c>
      <c r="D122" t="s">
        <v>411</v>
      </c>
      <c r="I122">
        <v>9000</v>
      </c>
      <c r="K122" t="s">
        <v>537</v>
      </c>
      <c r="L122">
        <f>HYPERLINK("https://maps.cookcountyil.gov/cookviewer/?search=3522 W LYNDALE ST", "3522 W LYNDALE ST")</f>
        <v>0</v>
      </c>
      <c r="N122" t="s">
        <v>606</v>
      </c>
      <c r="P122" t="s">
        <v>633</v>
      </c>
      <c r="Q122" t="s">
        <v>900</v>
      </c>
      <c r="U122">
        <f>HYPERLINK("https://www.cookcountyassessoril.gov/pin/13352100190000", "13-35-210-019-0000")</f>
        <v>0</v>
      </c>
      <c r="V122" t="s">
        <v>968</v>
      </c>
    </row>
    <row r="123" spans="1:22">
      <c r="A123">
        <v>122</v>
      </c>
      <c r="B123" t="s">
        <v>135</v>
      </c>
      <c r="C123" t="s">
        <v>325</v>
      </c>
      <c r="D123" t="s">
        <v>413</v>
      </c>
      <c r="I123">
        <v>28000</v>
      </c>
      <c r="K123" t="s">
        <v>538</v>
      </c>
      <c r="L123">
        <f>HYPERLINK("https://maps.cookcountyil.gov/cookviewer/?search=733 S KENNETH AVE", "733 S KENNETH AVE")</f>
        <v>0</v>
      </c>
      <c r="N123" t="s">
        <v>606</v>
      </c>
      <c r="P123" t="s">
        <v>718</v>
      </c>
      <c r="Q123" t="s">
        <v>810</v>
      </c>
      <c r="U123">
        <f>HYPERLINK("https://www.cookcountyassessoril.gov/pin/16153180010000", "16-15-318-001-0000")</f>
        <v>0</v>
      </c>
      <c r="V123" t="s">
        <v>968</v>
      </c>
    </row>
    <row r="124" spans="1:22">
      <c r="A124">
        <v>123</v>
      </c>
      <c r="B124" t="s">
        <v>136</v>
      </c>
      <c r="C124" t="s">
        <v>326</v>
      </c>
      <c r="D124" t="s">
        <v>407</v>
      </c>
      <c r="I124">
        <v>12000</v>
      </c>
      <c r="K124" t="s">
        <v>539</v>
      </c>
      <c r="L124">
        <f>HYPERLINK("https://maps.cookcountyil.gov/cookviewer/?search=4838 S CHAMPLAIN AVE", "4838 S CHAMPLAIN AVE")</f>
        <v>0</v>
      </c>
      <c r="N124" t="s">
        <v>606</v>
      </c>
      <c r="P124" t="s">
        <v>719</v>
      </c>
      <c r="Q124" t="s">
        <v>901</v>
      </c>
      <c r="U124">
        <f>HYPERLINK("https://www.cookcountyassessoril.gov/pin/20102110370000", "20-10-211-037-0000")</f>
        <v>0</v>
      </c>
      <c r="V124" t="s">
        <v>968</v>
      </c>
    </row>
    <row r="125" spans="1:22">
      <c r="A125">
        <v>124</v>
      </c>
      <c r="B125" t="s">
        <v>137</v>
      </c>
      <c r="C125" t="s">
        <v>327</v>
      </c>
      <c r="D125" t="s">
        <v>411</v>
      </c>
      <c r="I125">
        <v>5000</v>
      </c>
      <c r="K125" t="s">
        <v>540</v>
      </c>
      <c r="L125">
        <f>HYPERLINK("https://maps.cookcountyil.gov/cookviewer/?search=11719 S ASHLAND AVE", "11719 S ASHLAND AVE")</f>
        <v>0</v>
      </c>
      <c r="N125" t="s">
        <v>606</v>
      </c>
      <c r="P125" t="s">
        <v>720</v>
      </c>
      <c r="Q125" t="s">
        <v>833</v>
      </c>
      <c r="U125">
        <f>HYPERLINK("https://www.cookcountyassessoril.gov/pin/25203140070000", "25-20-314-007-0000")</f>
        <v>0</v>
      </c>
      <c r="V125" t="s">
        <v>968</v>
      </c>
    </row>
    <row r="126" spans="1:22">
      <c r="A126">
        <v>125</v>
      </c>
      <c r="B126" t="s">
        <v>138</v>
      </c>
      <c r="C126" t="s">
        <v>328</v>
      </c>
      <c r="D126" t="s">
        <v>404</v>
      </c>
      <c r="I126">
        <v>21210</v>
      </c>
      <c r="K126" t="s">
        <v>541</v>
      </c>
      <c r="L126">
        <f>HYPERLINK("https://maps.cookcountyil.gov/cookviewer/?search=7152 S MARSHFIELD AVE", "7152 S MARSHFIELD AVE")</f>
        <v>0</v>
      </c>
      <c r="N126" t="s">
        <v>606</v>
      </c>
      <c r="P126" t="s">
        <v>721</v>
      </c>
      <c r="Q126" t="s">
        <v>902</v>
      </c>
      <c r="U126">
        <f>HYPERLINK("https://www.cookcountyassessoril.gov/pin/20302060410000", "20-30-206-041-0000")</f>
        <v>0</v>
      </c>
      <c r="V126" t="s">
        <v>969</v>
      </c>
    </row>
    <row r="127" spans="1:22">
      <c r="A127">
        <v>126</v>
      </c>
      <c r="B127" t="s">
        <v>139</v>
      </c>
      <c r="C127" t="s">
        <v>329</v>
      </c>
      <c r="D127" t="s">
        <v>406</v>
      </c>
      <c r="I127">
        <v>110750</v>
      </c>
      <c r="K127" t="s">
        <v>542</v>
      </c>
      <c r="L127">
        <f>HYPERLINK("https://maps.cookcountyil.gov/cookviewer/?search=8009 S MAY ST", "8009 S MAY ST")</f>
        <v>0</v>
      </c>
      <c r="N127" t="s">
        <v>606</v>
      </c>
      <c r="P127" t="s">
        <v>722</v>
      </c>
      <c r="Q127" t="s">
        <v>903</v>
      </c>
      <c r="U127">
        <f>HYPERLINK("https://www.cookcountyassessoril.gov/pin/20322090020000", "20-32-209-002-0000")</f>
        <v>0</v>
      </c>
      <c r="V127" t="s">
        <v>968</v>
      </c>
    </row>
    <row r="128" spans="1:22">
      <c r="A128">
        <v>127</v>
      </c>
      <c r="B128" t="s">
        <v>140</v>
      </c>
      <c r="C128" t="s">
        <v>330</v>
      </c>
      <c r="D128" t="s">
        <v>404</v>
      </c>
      <c r="I128">
        <v>2500</v>
      </c>
      <c r="K128" t="s">
        <v>543</v>
      </c>
      <c r="L128">
        <f>HYPERLINK("https://maps.cookcountyil.gov/cookviewer/?search=9110 S MICHIGAN AVE", "9110 S MICHIGAN AVE")</f>
        <v>0</v>
      </c>
      <c r="N128" t="s">
        <v>606</v>
      </c>
      <c r="P128" t="s">
        <v>723</v>
      </c>
      <c r="Q128" t="s">
        <v>877</v>
      </c>
      <c r="U128">
        <f>HYPERLINK("https://www.cookcountyassessoril.gov/pin/25033010220000", "25-03-301-022-0000")</f>
        <v>0</v>
      </c>
      <c r="V128" t="s">
        <v>968</v>
      </c>
    </row>
    <row r="129" spans="1:22">
      <c r="A129">
        <v>128</v>
      </c>
      <c r="B129" t="s">
        <v>141</v>
      </c>
      <c r="C129" t="s">
        <v>331</v>
      </c>
      <c r="D129" t="s">
        <v>406</v>
      </c>
      <c r="I129">
        <v>12000</v>
      </c>
      <c r="K129" t="s">
        <v>544</v>
      </c>
      <c r="L129">
        <f>HYPERLINK("https://maps.cookcountyil.gov/cookviewer/?search=6058 S WOLCOTT AVE", "6058 S WOLCOTT AVE")</f>
        <v>0</v>
      </c>
      <c r="N129" t="s">
        <v>606</v>
      </c>
      <c r="P129" t="s">
        <v>724</v>
      </c>
      <c r="Q129" t="s">
        <v>872</v>
      </c>
      <c r="U129">
        <f>HYPERLINK("https://www.cookcountyassessoril.gov/pin/20184090480000", "20-18-409-048-0000")</f>
        <v>0</v>
      </c>
      <c r="V129" t="s">
        <v>968</v>
      </c>
    </row>
    <row r="130" spans="1:22">
      <c r="A130">
        <v>129</v>
      </c>
      <c r="B130" t="s">
        <v>142</v>
      </c>
      <c r="C130" t="s">
        <v>332</v>
      </c>
      <c r="D130" t="s">
        <v>413</v>
      </c>
      <c r="I130">
        <v>3700</v>
      </c>
      <c r="K130" t="s">
        <v>545</v>
      </c>
      <c r="L130">
        <f>HYPERLINK("https://maps.cookcountyil.gov/cookviewer/?search=1560 N SANDBURG TER", "1560 N SANDBURG TER")</f>
        <v>0</v>
      </c>
      <c r="N130" t="s">
        <v>606</v>
      </c>
      <c r="P130" t="s">
        <v>725</v>
      </c>
      <c r="Q130" t="s">
        <v>904</v>
      </c>
      <c r="U130" t="s">
        <v>967</v>
      </c>
      <c r="V130" t="s">
        <v>968</v>
      </c>
    </row>
    <row r="131" spans="1:22">
      <c r="A131">
        <v>130</v>
      </c>
      <c r="B131" t="s">
        <v>143</v>
      </c>
      <c r="C131" t="s">
        <v>333</v>
      </c>
      <c r="D131" t="s">
        <v>414</v>
      </c>
      <c r="I131">
        <v>14880</v>
      </c>
      <c r="K131" t="s">
        <v>546</v>
      </c>
      <c r="L131">
        <f>HYPERLINK("https://maps.cookcountyil.gov/cookviewer/?search=11140 S CHAMPLAIN AVE", "11140 S CHAMPLAIN AVE")</f>
        <v>0</v>
      </c>
      <c r="N131" t="s">
        <v>606</v>
      </c>
      <c r="P131" t="s">
        <v>726</v>
      </c>
      <c r="Q131" t="s">
        <v>905</v>
      </c>
      <c r="U131">
        <f>HYPERLINK("https://www.cookcountyassessoril.gov/pin/25222080380000", "25-22-208-038-0000")</f>
        <v>0</v>
      </c>
      <c r="V131" t="s">
        <v>968</v>
      </c>
    </row>
    <row r="132" spans="1:22">
      <c r="A132">
        <v>131</v>
      </c>
      <c r="B132" t="s">
        <v>144</v>
      </c>
      <c r="C132" t="s">
        <v>334</v>
      </c>
      <c r="D132" t="s">
        <v>406</v>
      </c>
      <c r="I132">
        <v>3750</v>
      </c>
      <c r="K132" t="s">
        <v>547</v>
      </c>
      <c r="L132">
        <f>HYPERLINK("https://maps.cookcountyil.gov/cookviewer/?search=4880 N CLARK ST", "4880 N CLARK ST")</f>
        <v>0</v>
      </c>
      <c r="N132" t="s">
        <v>606</v>
      </c>
      <c r="P132" t="s">
        <v>727</v>
      </c>
      <c r="Q132" t="s">
        <v>906</v>
      </c>
      <c r="U132" t="s">
        <v>967</v>
      </c>
      <c r="V132" t="s">
        <v>968</v>
      </c>
    </row>
    <row r="133" spans="1:22">
      <c r="A133">
        <v>132</v>
      </c>
      <c r="B133" t="s">
        <v>140</v>
      </c>
      <c r="C133" t="s">
        <v>335</v>
      </c>
      <c r="D133" t="s">
        <v>418</v>
      </c>
      <c r="I133">
        <v>6500</v>
      </c>
      <c r="K133" t="s">
        <v>543</v>
      </c>
      <c r="L133">
        <f>HYPERLINK("https://maps.cookcountyil.gov/cookviewer/?search=9110 S MICHIGAN AVE", "9110 S MICHIGAN AVE")</f>
        <v>0</v>
      </c>
      <c r="N133" t="s">
        <v>606</v>
      </c>
      <c r="P133" t="s">
        <v>723</v>
      </c>
      <c r="Q133" t="s">
        <v>907</v>
      </c>
      <c r="U133">
        <f>HYPERLINK("https://www.cookcountyassessoril.gov/pin/25033010220000", "25-03-301-022-0000")</f>
        <v>0</v>
      </c>
      <c r="V133" t="s">
        <v>968</v>
      </c>
    </row>
    <row r="134" spans="1:22">
      <c r="A134">
        <v>133</v>
      </c>
      <c r="B134" t="s">
        <v>145</v>
      </c>
      <c r="C134" t="s">
        <v>336</v>
      </c>
      <c r="D134" t="s">
        <v>411</v>
      </c>
      <c r="I134">
        <v>3000</v>
      </c>
      <c r="K134" t="s">
        <v>548</v>
      </c>
      <c r="L134">
        <f>HYPERLINK("https://maps.cookcountyil.gov/cookviewer/?search=247 E CHESTNUT ST", "247 E CHESTNUT ST")</f>
        <v>0</v>
      </c>
      <c r="N134" t="s">
        <v>606</v>
      </c>
      <c r="P134" t="s">
        <v>728</v>
      </c>
      <c r="Q134" t="s">
        <v>908</v>
      </c>
      <c r="U134" t="s">
        <v>967</v>
      </c>
      <c r="V134" t="s">
        <v>968</v>
      </c>
    </row>
    <row r="135" spans="1:22">
      <c r="A135">
        <v>134</v>
      </c>
      <c r="B135" t="s">
        <v>140</v>
      </c>
      <c r="C135" t="s">
        <v>337</v>
      </c>
      <c r="D135" t="s">
        <v>404</v>
      </c>
      <c r="I135">
        <v>10000</v>
      </c>
      <c r="K135" t="s">
        <v>543</v>
      </c>
      <c r="L135">
        <f>HYPERLINK("https://maps.cookcountyil.gov/cookviewer/?search=9110 S MICHIGAN AVE", "9110 S MICHIGAN AVE")</f>
        <v>0</v>
      </c>
      <c r="N135" t="s">
        <v>606</v>
      </c>
      <c r="P135" t="s">
        <v>723</v>
      </c>
      <c r="Q135" t="s">
        <v>909</v>
      </c>
      <c r="U135">
        <f>HYPERLINK("https://www.cookcountyassessoril.gov/pin/25033010220000", "25-03-301-022-0000")</f>
        <v>0</v>
      </c>
      <c r="V135" t="s">
        <v>968</v>
      </c>
    </row>
    <row r="136" spans="1:22">
      <c r="A136">
        <v>135</v>
      </c>
      <c r="B136" t="s">
        <v>146</v>
      </c>
      <c r="C136" t="s">
        <v>338</v>
      </c>
      <c r="D136" t="s">
        <v>409</v>
      </c>
      <c r="I136">
        <v>500</v>
      </c>
      <c r="K136" t="s">
        <v>549</v>
      </c>
      <c r="L136">
        <f>HYPERLINK("https://maps.cookcountyil.gov/cookviewer/?search=5309 S BISHOP ST", "5309 S BISHOP ST")</f>
        <v>0</v>
      </c>
      <c r="N136" t="s">
        <v>606</v>
      </c>
      <c r="P136" t="s">
        <v>729</v>
      </c>
      <c r="Q136" t="s">
        <v>910</v>
      </c>
      <c r="U136">
        <f>HYPERLINK("https://www.cookcountyassessoril.gov/pin/20083150050000", "20-08-315-005-0000")</f>
        <v>0</v>
      </c>
      <c r="V136" t="s">
        <v>968</v>
      </c>
    </row>
    <row r="137" spans="1:22">
      <c r="A137">
        <v>136</v>
      </c>
      <c r="B137" t="s">
        <v>147</v>
      </c>
      <c r="C137" t="s">
        <v>339</v>
      </c>
      <c r="D137" t="s">
        <v>411</v>
      </c>
      <c r="I137">
        <v>17800</v>
      </c>
      <c r="K137" t="s">
        <v>550</v>
      </c>
      <c r="L137">
        <f>HYPERLINK("https://maps.cookcountyil.gov/cookviewer/?search=1340 S DAMEN AVE", "1340 S DAMEN AVE")</f>
        <v>0</v>
      </c>
      <c r="N137" t="s">
        <v>606</v>
      </c>
      <c r="P137" t="s">
        <v>730</v>
      </c>
      <c r="Q137" t="s">
        <v>911</v>
      </c>
      <c r="U137">
        <f>HYPERLINK("https://www.cookcountyassessoril.gov/pin/17191150020000", "17-19-115-002-0000")</f>
        <v>0</v>
      </c>
      <c r="V137" t="s">
        <v>968</v>
      </c>
    </row>
    <row r="138" spans="1:22">
      <c r="A138">
        <v>137</v>
      </c>
      <c r="B138" t="s">
        <v>148</v>
      </c>
      <c r="C138" t="s">
        <v>340</v>
      </c>
      <c r="D138" t="s">
        <v>407</v>
      </c>
      <c r="I138">
        <v>9977</v>
      </c>
      <c r="K138" t="s">
        <v>551</v>
      </c>
      <c r="L138">
        <f>HYPERLINK("https://maps.cookcountyil.gov/cookviewer/?search=8668 S KIMBARK AVE", "8668 S KIMBARK AVE")</f>
        <v>0</v>
      </c>
      <c r="N138" t="s">
        <v>606</v>
      </c>
      <c r="P138" t="s">
        <v>731</v>
      </c>
      <c r="Q138" t="s">
        <v>912</v>
      </c>
      <c r="U138">
        <f>HYPERLINK("https://www.cookcountyassessoril.gov/pin/20354240490000", "20-35-424-049-0000")</f>
        <v>0</v>
      </c>
      <c r="V138" t="s">
        <v>968</v>
      </c>
    </row>
    <row r="139" spans="1:22">
      <c r="A139">
        <v>138</v>
      </c>
      <c r="B139" t="s">
        <v>149</v>
      </c>
      <c r="C139" t="s">
        <v>341</v>
      </c>
      <c r="D139" t="s">
        <v>410</v>
      </c>
      <c r="I139">
        <v>30000</v>
      </c>
      <c r="K139" t="s">
        <v>552</v>
      </c>
      <c r="L139">
        <f>HYPERLINK("https://maps.cookcountyil.gov/cookviewer/?search=825 N CHRISTIANA AVE", "825 N CHRISTIANA AVE")</f>
        <v>0</v>
      </c>
      <c r="N139" t="s">
        <v>606</v>
      </c>
      <c r="P139" t="s">
        <v>732</v>
      </c>
      <c r="Q139" t="s">
        <v>913</v>
      </c>
      <c r="U139">
        <f>HYPERLINK("https://www.cookcountyassessoril.gov/pin/16024270420000", "16-02-427-042-0000")</f>
        <v>0</v>
      </c>
      <c r="V139" t="s">
        <v>968</v>
      </c>
    </row>
    <row r="140" spans="1:22">
      <c r="A140">
        <v>139</v>
      </c>
      <c r="B140" t="s">
        <v>150</v>
      </c>
      <c r="C140" t="s">
        <v>342</v>
      </c>
      <c r="D140" t="s">
        <v>416</v>
      </c>
      <c r="I140">
        <v>2500</v>
      </c>
      <c r="K140" t="s">
        <v>553</v>
      </c>
      <c r="L140">
        <f>HYPERLINK("https://maps.cookcountyil.gov/cookviewer/?search=8927 S UNION AVE", "8927 S UNION AVE")</f>
        <v>0</v>
      </c>
      <c r="N140" t="s">
        <v>606</v>
      </c>
      <c r="P140" t="s">
        <v>733</v>
      </c>
      <c r="Q140" t="s">
        <v>877</v>
      </c>
      <c r="U140">
        <f>HYPERLINK("https://www.cookcountyassessoril.gov/pin/25041180100000", "25-04-118-010-0000")</f>
        <v>0</v>
      </c>
      <c r="V140" t="s">
        <v>968</v>
      </c>
    </row>
    <row r="141" spans="1:22">
      <c r="A141">
        <v>140</v>
      </c>
      <c r="B141" t="s">
        <v>89</v>
      </c>
      <c r="C141" t="s">
        <v>343</v>
      </c>
      <c r="D141" t="s">
        <v>411</v>
      </c>
      <c r="I141">
        <v>22138</v>
      </c>
      <c r="K141" t="s">
        <v>492</v>
      </c>
      <c r="L141">
        <f>HYPERLINK("https://maps.cookcountyil.gov/cookviewer/?search=7255 S SACRAMENTO AVE", "7255 S SACRAMENTO AVE")</f>
        <v>0</v>
      </c>
      <c r="N141" t="s">
        <v>606</v>
      </c>
      <c r="P141" t="s">
        <v>673</v>
      </c>
      <c r="Q141" t="s">
        <v>914</v>
      </c>
      <c r="U141">
        <f>HYPERLINK("https://www.cookcountyassessoril.gov/pin/19251120190000", "19-25-112-019-0000")</f>
        <v>0</v>
      </c>
      <c r="V141" t="s">
        <v>969</v>
      </c>
    </row>
    <row r="142" spans="1:22">
      <c r="A142">
        <v>141</v>
      </c>
      <c r="B142" t="s">
        <v>150</v>
      </c>
      <c r="C142" t="s">
        <v>344</v>
      </c>
      <c r="D142" t="s">
        <v>418</v>
      </c>
      <c r="I142">
        <v>10000</v>
      </c>
      <c r="K142" t="s">
        <v>553</v>
      </c>
      <c r="L142">
        <f>HYPERLINK("https://maps.cookcountyil.gov/cookviewer/?search=8927 S UNION AVE", "8927 S UNION AVE")</f>
        <v>0</v>
      </c>
      <c r="N142" t="s">
        <v>606</v>
      </c>
      <c r="P142" t="s">
        <v>733</v>
      </c>
      <c r="Q142" t="s">
        <v>879</v>
      </c>
      <c r="U142">
        <f>HYPERLINK("https://www.cookcountyassessoril.gov/pin/25041180100000", "25-04-118-010-0000")</f>
        <v>0</v>
      </c>
      <c r="V142" t="s">
        <v>968</v>
      </c>
    </row>
    <row r="143" spans="1:22">
      <c r="A143">
        <v>142</v>
      </c>
      <c r="B143" t="s">
        <v>151</v>
      </c>
      <c r="C143" t="s">
        <v>345</v>
      </c>
      <c r="D143" t="s">
        <v>416</v>
      </c>
      <c r="I143">
        <v>2200</v>
      </c>
      <c r="K143" t="s">
        <v>554</v>
      </c>
      <c r="L143">
        <f>HYPERLINK("https://maps.cookcountyil.gov/cookviewer/?search=340 E RANDOLPH ST", "340 E RANDOLPH ST")</f>
        <v>0</v>
      </c>
      <c r="N143" t="s">
        <v>606</v>
      </c>
      <c r="P143" t="s">
        <v>734</v>
      </c>
      <c r="Q143" t="s">
        <v>915</v>
      </c>
      <c r="U143">
        <f>HYPERLINK("https://www.cookcountyassessoril.gov/pin/17103180650000", "17-10-318-065-0000"), =HYPERLINK("https://www.cookcountyassessoril.gov/pin/17103180660000", "17-10-318-066-0000"), =HYPERLINK("https://www.cookcountyassessoril.gov/pin/17103180640000", "17-10-318-064-0000")</f>
        <v>0</v>
      </c>
      <c r="V143" t="s">
        <v>968</v>
      </c>
    </row>
    <row r="144" spans="1:22">
      <c r="A144">
        <v>143</v>
      </c>
      <c r="B144" t="s">
        <v>152</v>
      </c>
      <c r="C144" t="s">
        <v>346</v>
      </c>
      <c r="D144" t="s">
        <v>413</v>
      </c>
      <c r="I144">
        <v>16000</v>
      </c>
      <c r="K144" t="s">
        <v>555</v>
      </c>
      <c r="L144">
        <f>HYPERLINK("https://maps.cookcountyil.gov/cookviewer/?search=6445 N GLENWOOD AVE", "6445 N GLENWOOD AVE")</f>
        <v>0</v>
      </c>
      <c r="N144" t="s">
        <v>606</v>
      </c>
      <c r="P144" t="s">
        <v>735</v>
      </c>
      <c r="Q144" t="s">
        <v>810</v>
      </c>
      <c r="U144">
        <f>HYPERLINK("https://www.cookcountyassessoril.gov/pin/11323280140000", "11-32-328-014-0000")</f>
        <v>0</v>
      </c>
      <c r="V144" t="s">
        <v>968</v>
      </c>
    </row>
    <row r="145" spans="1:22">
      <c r="A145">
        <v>144</v>
      </c>
      <c r="B145" t="s">
        <v>153</v>
      </c>
      <c r="C145" t="s">
        <v>347</v>
      </c>
      <c r="D145" t="s">
        <v>411</v>
      </c>
      <c r="I145">
        <v>3860</v>
      </c>
      <c r="K145" t="s">
        <v>556</v>
      </c>
      <c r="L145">
        <f>HYPERLINK("https://maps.cookcountyil.gov/cookviewer/?search=4445 N AUSTIN AVE", "4445 N AUSTIN AVE")</f>
        <v>0</v>
      </c>
      <c r="N145" t="s">
        <v>606</v>
      </c>
      <c r="P145" t="s">
        <v>736</v>
      </c>
      <c r="Q145" t="s">
        <v>916</v>
      </c>
      <c r="U145">
        <f>HYPERLINK("https://www.cookcountyassessoril.gov/pin/13172250050000", "13-17-225-005-0000")</f>
        <v>0</v>
      </c>
      <c r="V145" t="s">
        <v>969</v>
      </c>
    </row>
    <row r="146" spans="1:22">
      <c r="A146">
        <v>145</v>
      </c>
      <c r="B146" t="s">
        <v>154</v>
      </c>
      <c r="C146" t="s">
        <v>348</v>
      </c>
      <c r="D146" t="s">
        <v>409</v>
      </c>
      <c r="I146">
        <v>4500</v>
      </c>
      <c r="K146" t="s">
        <v>557</v>
      </c>
      <c r="L146">
        <f>HYPERLINK("https://maps.cookcountyil.gov/cookviewer/?search=5729 S LOOMIS BLVD", "5729 S LOOMIS BLVD")</f>
        <v>0</v>
      </c>
      <c r="N146" t="s">
        <v>606</v>
      </c>
      <c r="P146" t="s">
        <v>737</v>
      </c>
      <c r="Q146" t="s">
        <v>917</v>
      </c>
      <c r="U146">
        <f>HYPERLINK("https://www.cookcountyassessoril.gov/pin/20171200120000", "20-17-120-012-0000")</f>
        <v>0</v>
      </c>
      <c r="V146" t="s">
        <v>968</v>
      </c>
    </row>
    <row r="147" spans="1:22">
      <c r="A147">
        <v>146</v>
      </c>
      <c r="B147" t="s">
        <v>155</v>
      </c>
      <c r="C147" t="s">
        <v>349</v>
      </c>
      <c r="D147" t="s">
        <v>413</v>
      </c>
      <c r="I147">
        <v>22800</v>
      </c>
      <c r="K147" t="s">
        <v>558</v>
      </c>
      <c r="L147">
        <f>HYPERLINK("https://maps.cookcountyil.gov/cookviewer/?search=2973 S LYMAN ST", "2973 S LYMAN ST")</f>
        <v>0</v>
      </c>
      <c r="N147" t="s">
        <v>606</v>
      </c>
      <c r="P147" t="s">
        <v>738</v>
      </c>
      <c r="Q147" t="s">
        <v>810</v>
      </c>
      <c r="U147">
        <f>HYPERLINK("https://www.cookcountyassessoril.gov/pin/17294210080000", "17-29-421-008-0000"), =HYPERLINK("https://www.cookcountyassessoril.gov/pin/17294210010000", "17-29-421-001-0000")</f>
        <v>0</v>
      </c>
      <c r="V147" t="s">
        <v>968</v>
      </c>
    </row>
    <row r="148" spans="1:22">
      <c r="A148">
        <v>147</v>
      </c>
      <c r="B148" t="s">
        <v>150</v>
      </c>
      <c r="C148" t="s">
        <v>350</v>
      </c>
      <c r="D148" t="s">
        <v>416</v>
      </c>
      <c r="I148">
        <v>10000</v>
      </c>
      <c r="K148" t="s">
        <v>553</v>
      </c>
      <c r="L148">
        <f>HYPERLINK("https://maps.cookcountyil.gov/cookviewer/?search=8927 S UNION AVE", "8927 S UNION AVE")</f>
        <v>0</v>
      </c>
      <c r="N148" t="s">
        <v>606</v>
      </c>
      <c r="P148" t="s">
        <v>733</v>
      </c>
      <c r="Q148" t="s">
        <v>918</v>
      </c>
      <c r="U148">
        <f>HYPERLINK("https://www.cookcountyassessoril.gov/pin/25041180100000", "25-04-118-010-0000")</f>
        <v>0</v>
      </c>
      <c r="V148" t="s">
        <v>968</v>
      </c>
    </row>
    <row r="149" spans="1:22">
      <c r="A149">
        <v>148</v>
      </c>
      <c r="B149" t="s">
        <v>156</v>
      </c>
      <c r="C149" t="s">
        <v>351</v>
      </c>
      <c r="D149" t="s">
        <v>404</v>
      </c>
      <c r="I149">
        <v>174280</v>
      </c>
      <c r="K149" t="s">
        <v>559</v>
      </c>
      <c r="L149">
        <f>HYPERLINK("https://maps.cookcountyil.gov/cookviewer/?search=827 W LAWRENCE AVE", "827 W LAWRENCE AVE")</f>
        <v>0</v>
      </c>
      <c r="N149" t="s">
        <v>606</v>
      </c>
      <c r="P149" t="s">
        <v>739</v>
      </c>
      <c r="Q149" t="s">
        <v>919</v>
      </c>
      <c r="U149" t="s">
        <v>967</v>
      </c>
      <c r="V149" t="s">
        <v>969</v>
      </c>
    </row>
    <row r="150" spans="1:22">
      <c r="A150">
        <v>149</v>
      </c>
      <c r="B150" t="s">
        <v>157</v>
      </c>
      <c r="C150" t="s">
        <v>352</v>
      </c>
      <c r="D150" t="s">
        <v>417</v>
      </c>
      <c r="I150">
        <v>46300</v>
      </c>
      <c r="K150" t="s">
        <v>560</v>
      </c>
      <c r="L150">
        <f>HYPERLINK("https://maps.cookcountyil.gov/cookviewer/?search=1339 W 111TH PL", "1339 W 111TH PL")</f>
        <v>0</v>
      </c>
      <c r="N150" t="s">
        <v>606</v>
      </c>
      <c r="P150" t="s">
        <v>740</v>
      </c>
      <c r="Q150" t="s">
        <v>920</v>
      </c>
      <c r="U150">
        <f>HYPERLINK("https://www.cookcountyassessoril.gov/pin/25201040080000", "25-20-104-008-0000"), =HYPERLINK("https://www.cookcountyassessoril.gov/pin/25201040070000", "25-20-104-007-0000")</f>
        <v>0</v>
      </c>
      <c r="V150" t="s">
        <v>969</v>
      </c>
    </row>
    <row r="151" spans="1:22">
      <c r="A151">
        <v>150</v>
      </c>
      <c r="B151" t="s">
        <v>158</v>
      </c>
      <c r="C151" t="s">
        <v>353</v>
      </c>
      <c r="D151" t="s">
        <v>409</v>
      </c>
      <c r="I151">
        <v>35560</v>
      </c>
      <c r="K151" t="s">
        <v>561</v>
      </c>
      <c r="L151">
        <f>HYPERLINK("https://maps.cookcountyil.gov/cookviewer/?search=262 W 26TH ST", "262 W 26TH ST")</f>
        <v>0</v>
      </c>
      <c r="N151" t="s">
        <v>606</v>
      </c>
      <c r="P151" t="s">
        <v>741</v>
      </c>
      <c r="Q151" t="s">
        <v>921</v>
      </c>
      <c r="U151">
        <f>HYPERLINK("https://www.cookcountyassessoril.gov/pin/17282330800000", "17-28-233-080-0000")</f>
        <v>0</v>
      </c>
      <c r="V151" t="s">
        <v>968</v>
      </c>
    </row>
    <row r="152" spans="1:22">
      <c r="A152">
        <v>151</v>
      </c>
      <c r="B152" t="s">
        <v>159</v>
      </c>
      <c r="C152" t="s">
        <v>354</v>
      </c>
      <c r="D152" t="s">
        <v>413</v>
      </c>
      <c r="I152">
        <v>8000</v>
      </c>
      <c r="K152" t="s">
        <v>562</v>
      </c>
      <c r="L152">
        <f>HYPERLINK("https://maps.cookcountyil.gov/cookviewer/?search=6112 S WHIPPLE ST", "6112 S WHIPPLE ST")</f>
        <v>0</v>
      </c>
      <c r="N152" t="s">
        <v>606</v>
      </c>
      <c r="P152" t="s">
        <v>742</v>
      </c>
      <c r="Q152" t="s">
        <v>922</v>
      </c>
      <c r="U152">
        <f>HYPERLINK("https://www.cookcountyassessoril.gov/pin/19133180240000", "19-13-318-024-0000")</f>
        <v>0</v>
      </c>
      <c r="V152" t="s">
        <v>968</v>
      </c>
    </row>
    <row r="153" spans="1:22">
      <c r="A153">
        <v>152</v>
      </c>
      <c r="B153" t="s">
        <v>160</v>
      </c>
      <c r="C153" t="s">
        <v>355</v>
      </c>
      <c r="D153" t="s">
        <v>411</v>
      </c>
      <c r="I153">
        <v>6250</v>
      </c>
      <c r="K153" t="s">
        <v>563</v>
      </c>
      <c r="L153">
        <f>HYPERLINK("https://maps.cookcountyil.gov/cookviewer/?search=6909 W IMLAY ST", "6909 W IMLAY ST")</f>
        <v>0</v>
      </c>
      <c r="N153" t="s">
        <v>606</v>
      </c>
      <c r="P153" t="s">
        <v>743</v>
      </c>
      <c r="Q153" t="s">
        <v>923</v>
      </c>
      <c r="U153">
        <f>HYPERLINK("https://www.cookcountyassessoril.gov/pin/10313160110000", "10-31-316-011-0000")</f>
        <v>0</v>
      </c>
      <c r="V153" t="s">
        <v>968</v>
      </c>
    </row>
    <row r="154" spans="1:22">
      <c r="A154">
        <v>153</v>
      </c>
      <c r="B154" t="s">
        <v>161</v>
      </c>
      <c r="C154" t="s">
        <v>356</v>
      </c>
      <c r="D154" t="s">
        <v>420</v>
      </c>
      <c r="I154">
        <v>500</v>
      </c>
      <c r="K154" t="s">
        <v>564</v>
      </c>
      <c r="L154">
        <f>HYPERLINK("https://maps.cookcountyil.gov/cookviewer/?search=12022 S PRINCETON AVE", "12022 S PRINCETON AVE")</f>
        <v>0</v>
      </c>
      <c r="N154" t="s">
        <v>606</v>
      </c>
      <c r="P154" t="s">
        <v>744</v>
      </c>
      <c r="Q154" t="s">
        <v>924</v>
      </c>
      <c r="U154">
        <f>HYPERLINK("https://www.cookcountyassessoril.gov/pin/25282090240000", "25-28-209-024-0000")</f>
        <v>0</v>
      </c>
      <c r="V154" t="s">
        <v>968</v>
      </c>
    </row>
    <row r="155" spans="1:22">
      <c r="A155">
        <v>154</v>
      </c>
      <c r="B155" t="s">
        <v>162</v>
      </c>
      <c r="C155" t="s">
        <v>357</v>
      </c>
      <c r="D155" t="s">
        <v>417</v>
      </c>
      <c r="I155">
        <v>80000</v>
      </c>
      <c r="K155" t="s">
        <v>565</v>
      </c>
      <c r="L155">
        <f>HYPERLINK("https://maps.cookcountyil.gov/cookviewer/?search=3502 W PALMER ST", "3502 W PALMER ST")</f>
        <v>0</v>
      </c>
      <c r="N155" t="s">
        <v>606</v>
      </c>
      <c r="P155" t="s">
        <v>745</v>
      </c>
      <c r="Q155" t="s">
        <v>925</v>
      </c>
      <c r="U155">
        <f>HYPERLINK("https://www.cookcountyassessoril.gov/pin/13352130260000", "13-35-213-026-0000")</f>
        <v>0</v>
      </c>
      <c r="V155" t="s">
        <v>968</v>
      </c>
    </row>
    <row r="156" spans="1:22">
      <c r="A156">
        <v>155</v>
      </c>
      <c r="B156" t="s">
        <v>163</v>
      </c>
      <c r="C156" t="s">
        <v>358</v>
      </c>
      <c r="D156" t="s">
        <v>416</v>
      </c>
      <c r="I156">
        <v>9500</v>
      </c>
      <c r="K156" t="s">
        <v>566</v>
      </c>
      <c r="L156">
        <f>HYPERLINK("https://maps.cookcountyil.gov/cookviewer/?search=7421 S COLES AVE", "7421 S COLES AVE")</f>
        <v>0</v>
      </c>
      <c r="N156" t="s">
        <v>606</v>
      </c>
      <c r="P156" t="s">
        <v>746</v>
      </c>
      <c r="Q156" t="s">
        <v>926</v>
      </c>
      <c r="U156">
        <f>HYPERLINK("https://www.cookcountyassessoril.gov/pin/21301220070000", "21-30-122-007-0000")</f>
        <v>0</v>
      </c>
      <c r="V156" t="s">
        <v>968</v>
      </c>
    </row>
    <row r="157" spans="1:22">
      <c r="A157">
        <v>156</v>
      </c>
      <c r="B157" t="s">
        <v>164</v>
      </c>
      <c r="C157" t="s">
        <v>359</v>
      </c>
      <c r="D157" t="s">
        <v>404</v>
      </c>
      <c r="I157">
        <v>20000</v>
      </c>
      <c r="K157" t="s">
        <v>567</v>
      </c>
      <c r="L157">
        <f>HYPERLINK("https://maps.cookcountyil.gov/cookviewer/?search=2928 S BROAD ST", "2928 S BROAD ST")</f>
        <v>0</v>
      </c>
      <c r="N157" t="s">
        <v>606</v>
      </c>
      <c r="P157" t="s">
        <v>747</v>
      </c>
      <c r="Q157" t="s">
        <v>927</v>
      </c>
      <c r="U157" t="s">
        <v>967</v>
      </c>
      <c r="V157" t="s">
        <v>968</v>
      </c>
    </row>
    <row r="158" spans="1:22">
      <c r="A158">
        <v>157</v>
      </c>
      <c r="B158" t="s">
        <v>165</v>
      </c>
      <c r="C158" t="s">
        <v>360</v>
      </c>
      <c r="D158" t="s">
        <v>409</v>
      </c>
      <c r="I158">
        <v>25000</v>
      </c>
      <c r="K158" t="s">
        <v>568</v>
      </c>
      <c r="L158">
        <f>HYPERLINK("https://maps.cookcountyil.gov/cookviewer/?search=5216 W LAWRENCE AVE", "5216 W LAWRENCE AVE")</f>
        <v>0</v>
      </c>
      <c r="N158" t="s">
        <v>606</v>
      </c>
      <c r="P158" t="s">
        <v>748</v>
      </c>
      <c r="Q158" t="s">
        <v>928</v>
      </c>
      <c r="U158" t="s">
        <v>967</v>
      </c>
      <c r="V158" t="s">
        <v>968</v>
      </c>
    </row>
    <row r="159" spans="1:22">
      <c r="A159">
        <v>158</v>
      </c>
      <c r="B159" t="s">
        <v>166</v>
      </c>
      <c r="C159" t="s">
        <v>361</v>
      </c>
      <c r="D159" t="s">
        <v>407</v>
      </c>
      <c r="I159">
        <v>9500</v>
      </c>
      <c r="K159" t="s">
        <v>569</v>
      </c>
      <c r="L159">
        <f>HYPERLINK("https://maps.cookcountyil.gov/cookviewer/?search=2315 W 112TH ST", "2315 W 112TH ST")</f>
        <v>0</v>
      </c>
      <c r="N159" t="s">
        <v>606</v>
      </c>
      <c r="P159" t="s">
        <v>749</v>
      </c>
      <c r="Q159" t="s">
        <v>929</v>
      </c>
      <c r="U159">
        <f>HYPERLINK("https://www.cookcountyassessoril.gov/pin/25191040100000", "25-19-104-010-0000")</f>
        <v>0</v>
      </c>
      <c r="V159" t="s">
        <v>968</v>
      </c>
    </row>
    <row r="160" spans="1:22">
      <c r="A160">
        <v>159</v>
      </c>
      <c r="B160" t="s">
        <v>167</v>
      </c>
      <c r="C160" t="s">
        <v>362</v>
      </c>
      <c r="D160" t="s">
        <v>411</v>
      </c>
      <c r="I160">
        <v>700</v>
      </c>
      <c r="K160" t="s">
        <v>570</v>
      </c>
      <c r="L160">
        <f>HYPERLINK("https://maps.cookcountyil.gov/cookviewer/?search=10432 S SANGAMON ST", "10432 S SANGAMON ST")</f>
        <v>0</v>
      </c>
      <c r="N160" t="s">
        <v>606</v>
      </c>
      <c r="P160" t="s">
        <v>750</v>
      </c>
      <c r="Q160" t="s">
        <v>865</v>
      </c>
      <c r="U160">
        <f>HYPERLINK("https://www.cookcountyassessoril.gov/pin/25172120280000", "25-17-212-028-0000")</f>
        <v>0</v>
      </c>
      <c r="V160" t="s">
        <v>968</v>
      </c>
    </row>
    <row r="161" spans="1:22">
      <c r="A161">
        <v>160</v>
      </c>
      <c r="B161" t="s">
        <v>168</v>
      </c>
      <c r="C161" t="s">
        <v>363</v>
      </c>
      <c r="D161" t="s">
        <v>404</v>
      </c>
      <c r="I161">
        <v>144440</v>
      </c>
      <c r="K161" t="s">
        <v>571</v>
      </c>
      <c r="L161">
        <f>HYPERLINK("https://maps.cookcountyil.gov/cookviewer/?search=1636 W COLUMBIA AVE", "1636 W COLUMBIA AVE")</f>
        <v>0</v>
      </c>
      <c r="N161" t="s">
        <v>606</v>
      </c>
      <c r="P161" t="s">
        <v>751</v>
      </c>
      <c r="Q161" t="s">
        <v>930</v>
      </c>
      <c r="U161" t="s">
        <v>967</v>
      </c>
      <c r="V161" t="s">
        <v>969</v>
      </c>
    </row>
    <row r="162" spans="1:22">
      <c r="A162">
        <v>161</v>
      </c>
      <c r="B162" t="s">
        <v>169</v>
      </c>
      <c r="C162" t="s">
        <v>364</v>
      </c>
      <c r="D162" t="s">
        <v>416</v>
      </c>
      <c r="I162">
        <v>48500</v>
      </c>
      <c r="K162" t="s">
        <v>572</v>
      </c>
      <c r="L162">
        <f>HYPERLINK("https://maps.cookcountyil.gov/cookviewer/?search=6619 N GLENWOOD AVE", "6619 N GLENWOOD AVE")</f>
        <v>0</v>
      </c>
      <c r="N162" t="s">
        <v>606</v>
      </c>
      <c r="P162" t="s">
        <v>752</v>
      </c>
      <c r="Q162" t="s">
        <v>931</v>
      </c>
      <c r="U162">
        <f>HYPERLINK("https://www.cookcountyassessoril.gov/pin/11323120171012", "11-32-312-017-1012"), =HYPERLINK("https://www.cookcountyassessoril.gov/pin/11323120171005", "11-32-312-017-1005")</f>
        <v>0</v>
      </c>
      <c r="V162" t="s">
        <v>968</v>
      </c>
    </row>
    <row r="163" spans="1:22">
      <c r="A163">
        <v>162</v>
      </c>
      <c r="B163" t="s">
        <v>170</v>
      </c>
      <c r="C163" t="s">
        <v>365</v>
      </c>
      <c r="D163" t="s">
        <v>417</v>
      </c>
      <c r="I163">
        <v>8000</v>
      </c>
      <c r="K163" t="s">
        <v>573</v>
      </c>
      <c r="L163">
        <f>HYPERLINK("https://maps.cookcountyil.gov/cookviewer/?search=4101 N KEDZIE AVE", "4101 N KEDZIE AVE")</f>
        <v>0</v>
      </c>
      <c r="N163" t="s">
        <v>606</v>
      </c>
      <c r="P163" t="s">
        <v>753</v>
      </c>
      <c r="Q163" t="s">
        <v>932</v>
      </c>
      <c r="U163">
        <f>HYPERLINK("https://www.cookcountyassessoril.gov/pin/13133160140000", "13-13-316-014-0000")</f>
        <v>0</v>
      </c>
      <c r="V163" t="s">
        <v>968</v>
      </c>
    </row>
    <row r="164" spans="1:22">
      <c r="A164">
        <v>163</v>
      </c>
      <c r="B164" t="s">
        <v>171</v>
      </c>
      <c r="C164" t="s">
        <v>366</v>
      </c>
      <c r="D164" t="s">
        <v>418</v>
      </c>
      <c r="I164">
        <v>29218</v>
      </c>
      <c r="K164" t="s">
        <v>574</v>
      </c>
      <c r="L164">
        <f>HYPERLINK("https://maps.cookcountyil.gov/cookviewer/?search=6201 W DEVON AVE", "6201 W DEVON AVE")</f>
        <v>0</v>
      </c>
      <c r="N164" t="s">
        <v>606</v>
      </c>
      <c r="P164" t="s">
        <v>754</v>
      </c>
      <c r="Q164" t="s">
        <v>933</v>
      </c>
      <c r="U164">
        <f>HYPERLINK("https://www.cookcountyassessoril.gov/pin/13051050010000", "13-05-105-001-0000"), =HYPERLINK("https://www.cookcountyassessoril.gov/pin/13051040500000", "13-05-104-050-0000")</f>
        <v>0</v>
      </c>
      <c r="V164" t="s">
        <v>969</v>
      </c>
    </row>
    <row r="165" spans="1:22">
      <c r="A165">
        <v>164</v>
      </c>
      <c r="B165" t="s">
        <v>172</v>
      </c>
      <c r="C165" t="s">
        <v>367</v>
      </c>
      <c r="D165" t="s">
        <v>411</v>
      </c>
      <c r="I165">
        <v>3000</v>
      </c>
      <c r="K165" t="s">
        <v>575</v>
      </c>
      <c r="L165">
        <f>HYPERLINK("https://maps.cookcountyil.gov/cookviewer/?search=9952 S CHARLES ST", "9952 S CHARLES ST")</f>
        <v>0</v>
      </c>
      <c r="N165" t="s">
        <v>606</v>
      </c>
      <c r="P165" t="s">
        <v>755</v>
      </c>
      <c r="Q165" t="s">
        <v>934</v>
      </c>
      <c r="U165">
        <f>HYPERLINK("https://www.cookcountyassessoril.gov/pin/25083000390000", "25-08-300-039-0000")</f>
        <v>0</v>
      </c>
      <c r="V165" t="s">
        <v>968</v>
      </c>
    </row>
    <row r="166" spans="1:22">
      <c r="A166">
        <v>165</v>
      </c>
      <c r="B166" t="s">
        <v>173</v>
      </c>
      <c r="C166" t="s">
        <v>368</v>
      </c>
      <c r="D166" t="s">
        <v>418</v>
      </c>
      <c r="I166">
        <v>14250</v>
      </c>
      <c r="K166" t="s">
        <v>576</v>
      </c>
      <c r="L166">
        <f>HYPERLINK("https://maps.cookcountyil.gov/cookviewer/?search=5923 S SPAULDING AVE", "5923 S SPAULDING AVE")</f>
        <v>0</v>
      </c>
      <c r="N166" t="s">
        <v>606</v>
      </c>
      <c r="P166" t="s">
        <v>756</v>
      </c>
      <c r="Q166" t="s">
        <v>935</v>
      </c>
      <c r="U166">
        <f>HYPERLINK("https://www.cookcountyassessoril.gov/pin/19144030080000", "19-14-403-008-0000")</f>
        <v>0</v>
      </c>
      <c r="V166" t="s">
        <v>968</v>
      </c>
    </row>
    <row r="167" spans="1:22">
      <c r="A167">
        <v>166</v>
      </c>
      <c r="B167" t="s">
        <v>174</v>
      </c>
      <c r="C167" t="s">
        <v>369</v>
      </c>
      <c r="D167" t="s">
        <v>407</v>
      </c>
      <c r="I167">
        <v>7200</v>
      </c>
      <c r="K167" t="s">
        <v>577</v>
      </c>
      <c r="L167">
        <f>HYPERLINK("https://maps.cookcountyil.gov/cookviewer/?search=7475 N ROGERS AVE", "7475 N ROGERS AVE")</f>
        <v>0</v>
      </c>
      <c r="N167" t="s">
        <v>606</v>
      </c>
      <c r="P167" t="s">
        <v>757</v>
      </c>
      <c r="Q167" t="s">
        <v>936</v>
      </c>
      <c r="U167">
        <f>HYPERLINK("https://www.cookcountyassessoril.gov/pin/11304120030000", "11-30-412-003-0000")</f>
        <v>0</v>
      </c>
      <c r="V167" t="s">
        <v>968</v>
      </c>
    </row>
    <row r="168" spans="1:22">
      <c r="A168">
        <v>167</v>
      </c>
      <c r="B168" t="s">
        <v>175</v>
      </c>
      <c r="C168" t="s">
        <v>370</v>
      </c>
      <c r="D168" t="s">
        <v>404</v>
      </c>
      <c r="I168">
        <v>11685</v>
      </c>
      <c r="K168" t="s">
        <v>578</v>
      </c>
      <c r="L168">
        <f>HYPERLINK("https://maps.cookcountyil.gov/cookviewer/?search=7932 S RICHMOND ST", "7932 S RICHMOND ST")</f>
        <v>0</v>
      </c>
      <c r="N168" t="s">
        <v>606</v>
      </c>
      <c r="P168" t="s">
        <v>758</v>
      </c>
      <c r="Q168" t="s">
        <v>937</v>
      </c>
      <c r="U168">
        <f>HYPERLINK("https://www.cookcountyassessoril.gov/pin/19361040310000", "19-36-104-031-0000")</f>
        <v>0</v>
      </c>
      <c r="V168" t="s">
        <v>969</v>
      </c>
    </row>
    <row r="169" spans="1:22">
      <c r="A169">
        <v>168</v>
      </c>
      <c r="B169" t="s">
        <v>176</v>
      </c>
      <c r="C169" t="s">
        <v>371</v>
      </c>
      <c r="D169" t="s">
        <v>409</v>
      </c>
      <c r="I169">
        <v>2000</v>
      </c>
      <c r="K169" t="s">
        <v>579</v>
      </c>
      <c r="L169">
        <f>HYPERLINK("https://maps.cookcountyil.gov/cookviewer/?search=3506 W 73RD PL", "3506 W 73RD PL")</f>
        <v>0</v>
      </c>
      <c r="N169" t="s">
        <v>606</v>
      </c>
      <c r="P169" t="s">
        <v>759</v>
      </c>
      <c r="Q169" t="s">
        <v>938</v>
      </c>
      <c r="U169">
        <f>HYPERLINK("https://www.cookcountyassessoril.gov/pin/19262160310000", "19-26-216-031-0000")</f>
        <v>0</v>
      </c>
      <c r="V169" t="s">
        <v>968</v>
      </c>
    </row>
    <row r="170" spans="1:22">
      <c r="A170">
        <v>169</v>
      </c>
      <c r="B170" t="s">
        <v>177</v>
      </c>
      <c r="C170" t="s">
        <v>372</v>
      </c>
      <c r="D170" t="s">
        <v>404</v>
      </c>
      <c r="I170">
        <v>25000</v>
      </c>
      <c r="K170" t="s">
        <v>580</v>
      </c>
      <c r="L170">
        <f>HYPERLINK("https://maps.cookcountyil.gov/cookviewer/?search=2641 W WINNEMAC AVE", "2641 W WINNEMAC AVE")</f>
        <v>0</v>
      </c>
      <c r="N170" t="s">
        <v>606</v>
      </c>
      <c r="P170" t="s">
        <v>760</v>
      </c>
      <c r="Q170" t="s">
        <v>939</v>
      </c>
      <c r="U170">
        <f>HYPERLINK("https://www.cookcountyassessoril.gov/pin/13124090070000", "13-12-409-007-0000")</f>
        <v>0</v>
      </c>
      <c r="V170" t="s">
        <v>968</v>
      </c>
    </row>
    <row r="171" spans="1:22">
      <c r="A171">
        <v>170</v>
      </c>
      <c r="B171" t="s">
        <v>178</v>
      </c>
      <c r="C171" t="s">
        <v>373</v>
      </c>
      <c r="D171" t="s">
        <v>404</v>
      </c>
      <c r="I171">
        <v>6499</v>
      </c>
      <c r="K171" t="s">
        <v>581</v>
      </c>
      <c r="L171">
        <f>HYPERLINK("https://maps.cookcountyil.gov/cookviewer/?search=11030 S RIDGEWAY AVE", "11030 S RIDGEWAY AVE")</f>
        <v>0</v>
      </c>
      <c r="N171" t="s">
        <v>606</v>
      </c>
      <c r="P171" t="s">
        <v>761</v>
      </c>
      <c r="Q171" t="s">
        <v>940</v>
      </c>
      <c r="U171">
        <f>HYPERLINK("https://www.cookcountyassessoril.gov/pin/24143230220000", "24-14-323-022-0000")</f>
        <v>0</v>
      </c>
      <c r="V171" t="s">
        <v>968</v>
      </c>
    </row>
    <row r="172" spans="1:22">
      <c r="A172">
        <v>171</v>
      </c>
      <c r="B172" t="s">
        <v>175</v>
      </c>
      <c r="C172" t="s">
        <v>374</v>
      </c>
      <c r="D172" t="s">
        <v>411</v>
      </c>
      <c r="I172">
        <v>4200</v>
      </c>
      <c r="K172" t="s">
        <v>578</v>
      </c>
      <c r="L172">
        <f>HYPERLINK("https://maps.cookcountyil.gov/cookviewer/?search=7932 S RICHMOND ST", "7932 S RICHMOND ST")</f>
        <v>0</v>
      </c>
      <c r="N172" t="s">
        <v>606</v>
      </c>
      <c r="P172" t="s">
        <v>758</v>
      </c>
      <c r="Q172" t="s">
        <v>941</v>
      </c>
      <c r="U172">
        <f>HYPERLINK("https://www.cookcountyassessoril.gov/pin/19361040310000", "19-36-104-031-0000")</f>
        <v>0</v>
      </c>
      <c r="V172" t="s">
        <v>968</v>
      </c>
    </row>
    <row r="173" spans="1:22">
      <c r="A173">
        <v>172</v>
      </c>
      <c r="B173" t="s">
        <v>179</v>
      </c>
      <c r="C173" t="s">
        <v>375</v>
      </c>
      <c r="D173" t="s">
        <v>411</v>
      </c>
      <c r="I173">
        <v>1100</v>
      </c>
      <c r="K173" t="s">
        <v>582</v>
      </c>
      <c r="L173">
        <f>HYPERLINK("https://maps.cookcountyil.gov/cookviewer/?search=3554 W SHAKESPEARE AVE", "3554 W SHAKESPEARE AVE")</f>
        <v>0</v>
      </c>
      <c r="N173" t="s">
        <v>606</v>
      </c>
      <c r="P173" t="s">
        <v>762</v>
      </c>
      <c r="Q173" t="s">
        <v>942</v>
      </c>
      <c r="U173" t="s">
        <v>967</v>
      </c>
      <c r="V173" t="s">
        <v>968</v>
      </c>
    </row>
    <row r="174" spans="1:22">
      <c r="A174">
        <v>173</v>
      </c>
      <c r="B174" t="s">
        <v>180</v>
      </c>
      <c r="C174" t="s">
        <v>376</v>
      </c>
      <c r="D174" t="s">
        <v>419</v>
      </c>
      <c r="I174">
        <v>2000</v>
      </c>
      <c r="K174" t="s">
        <v>583</v>
      </c>
      <c r="L174">
        <f>HYPERLINK("https://maps.cookcountyil.gov/cookviewer/?search=9035 S DOBSON AVE", "9035 S DOBSON AVE")</f>
        <v>0</v>
      </c>
      <c r="N174" t="s">
        <v>606</v>
      </c>
      <c r="P174" t="s">
        <v>763</v>
      </c>
      <c r="Q174" t="s">
        <v>943</v>
      </c>
      <c r="U174">
        <f>HYPERLINK("https://www.cookcountyassessoril.gov/pin/25021160500000", "25-02-116-050-0000")</f>
        <v>0</v>
      </c>
      <c r="V174" t="s">
        <v>968</v>
      </c>
    </row>
    <row r="175" spans="1:22">
      <c r="A175">
        <v>174</v>
      </c>
      <c r="B175" t="s">
        <v>181</v>
      </c>
      <c r="C175" t="s">
        <v>377</v>
      </c>
      <c r="D175" t="s">
        <v>411</v>
      </c>
      <c r="I175">
        <v>30565</v>
      </c>
      <c r="K175" t="s">
        <v>584</v>
      </c>
      <c r="L175">
        <f>HYPERLINK("https://maps.cookcountyil.gov/cookviewer/?search=2135 W DIVISION ST", "2135 W DIVISION ST")</f>
        <v>0</v>
      </c>
      <c r="N175" t="s">
        <v>606</v>
      </c>
      <c r="P175" t="s">
        <v>764</v>
      </c>
      <c r="Q175" t="s">
        <v>944</v>
      </c>
      <c r="U175">
        <f>HYPERLINK("https://www.cookcountyassessoril.gov/pin/17063020080000", "17-06-302-008-0000")</f>
        <v>0</v>
      </c>
      <c r="V175" t="s">
        <v>968</v>
      </c>
    </row>
    <row r="176" spans="1:22">
      <c r="A176">
        <v>175</v>
      </c>
      <c r="B176" t="s">
        <v>182</v>
      </c>
      <c r="C176" t="s">
        <v>378</v>
      </c>
      <c r="D176" t="s">
        <v>411</v>
      </c>
      <c r="I176">
        <v>40000</v>
      </c>
      <c r="K176" t="s">
        <v>585</v>
      </c>
      <c r="L176">
        <f>HYPERLINK("https://maps.cookcountyil.gov/cookviewer/?search=7155 N OLCOTT AVE", "7155 N OLCOTT AVE")</f>
        <v>0</v>
      </c>
      <c r="N176" t="s">
        <v>606</v>
      </c>
      <c r="P176" t="s">
        <v>765</v>
      </c>
      <c r="Q176" t="s">
        <v>945</v>
      </c>
      <c r="U176">
        <f>HYPERLINK("https://www.cookcountyassessoril.gov/pin/09362020020000", "09-36-202-002-0000")</f>
        <v>0</v>
      </c>
      <c r="V176" t="s">
        <v>969</v>
      </c>
    </row>
    <row r="177" spans="1:22">
      <c r="A177">
        <v>176</v>
      </c>
      <c r="B177" t="s">
        <v>183</v>
      </c>
      <c r="C177" t="s">
        <v>379</v>
      </c>
      <c r="D177" t="s">
        <v>411</v>
      </c>
      <c r="I177">
        <v>600</v>
      </c>
      <c r="K177" t="s">
        <v>586</v>
      </c>
      <c r="L177">
        <f>HYPERLINK("https://maps.cookcountyil.gov/cookviewer/?search=11101 S AVENUE D", "11101 S AVENUE D")</f>
        <v>0</v>
      </c>
      <c r="N177" t="s">
        <v>606</v>
      </c>
      <c r="P177" t="s">
        <v>766</v>
      </c>
      <c r="Q177" t="s">
        <v>946</v>
      </c>
      <c r="U177">
        <f>HYPERLINK("https://www.cookcountyassessoril.gov/pin/26174060020000", "26-17-406-002-0000")</f>
        <v>0</v>
      </c>
      <c r="V177" t="s">
        <v>968</v>
      </c>
    </row>
    <row r="178" spans="1:22">
      <c r="A178">
        <v>177</v>
      </c>
      <c r="B178" t="s">
        <v>184</v>
      </c>
      <c r="C178" t="s">
        <v>380</v>
      </c>
      <c r="D178" t="s">
        <v>415</v>
      </c>
      <c r="I178">
        <v>9000</v>
      </c>
      <c r="K178" t="s">
        <v>587</v>
      </c>
      <c r="L178">
        <f>HYPERLINK("https://maps.cookcountyil.gov/cookviewer/?search=3459 W OGDEN AVE", "3459 W OGDEN AVE")</f>
        <v>0</v>
      </c>
      <c r="N178" t="s">
        <v>606</v>
      </c>
      <c r="P178" t="s">
        <v>767</v>
      </c>
      <c r="Q178" t="s">
        <v>947</v>
      </c>
      <c r="U178">
        <f>HYPERLINK("https://www.cookcountyassessoril.gov/pin/16234170410000", "16-23-417-041-0000"), =HYPERLINK("https://www.cookcountyassessoril.gov/pin/16234170390000", "16-23-417-039-0000"), =HYPERLINK("https://www.cookcountyassessoril.gov/pin/16234170420000", "16-23-417-042-0000"), =HYPERLINK("https://www.cookcountyassessoril.gov/pin/16234170400000", "16-23-417-040-0000")</f>
        <v>0</v>
      </c>
      <c r="V178" t="s">
        <v>968</v>
      </c>
    </row>
    <row r="179" spans="1:22">
      <c r="A179">
        <v>178</v>
      </c>
      <c r="B179" t="s">
        <v>58</v>
      </c>
      <c r="C179" t="s">
        <v>381</v>
      </c>
      <c r="D179" t="s">
        <v>404</v>
      </c>
      <c r="I179">
        <v>10000</v>
      </c>
      <c r="K179" t="s">
        <v>461</v>
      </c>
      <c r="L179">
        <f>HYPERLINK("https://maps.cookcountyil.gov/cookviewer/?search=5644 S JUSTINE ST", "5644 S JUSTINE ST")</f>
        <v>0</v>
      </c>
      <c r="N179" t="s">
        <v>606</v>
      </c>
      <c r="P179" t="s">
        <v>642</v>
      </c>
      <c r="Q179" t="s">
        <v>948</v>
      </c>
      <c r="U179">
        <f>HYPERLINK("https://www.cookcountyassessoril.gov/pin/20171080390000", "20-17-108-039-0000")</f>
        <v>0</v>
      </c>
      <c r="V179" t="s">
        <v>968</v>
      </c>
    </row>
    <row r="180" spans="1:22">
      <c r="A180">
        <v>179</v>
      </c>
      <c r="B180" t="s">
        <v>185</v>
      </c>
      <c r="C180" t="s">
        <v>382</v>
      </c>
      <c r="D180" t="s">
        <v>411</v>
      </c>
      <c r="I180">
        <v>17670</v>
      </c>
      <c r="K180" t="s">
        <v>588</v>
      </c>
      <c r="L180">
        <f>HYPERLINK("https://maps.cookcountyil.gov/cookviewer/?search=1939 W GRACE ST", "1939 W GRACE ST")</f>
        <v>0</v>
      </c>
      <c r="N180" t="s">
        <v>606</v>
      </c>
      <c r="P180" t="s">
        <v>768</v>
      </c>
      <c r="Q180" t="s">
        <v>949</v>
      </c>
      <c r="U180">
        <f>HYPERLINK("https://www.cookcountyassessoril.gov/pin/14192170110000", "14-19-217-011-0000")</f>
        <v>0</v>
      </c>
      <c r="V180" t="s">
        <v>968</v>
      </c>
    </row>
    <row r="181" spans="1:22">
      <c r="A181">
        <v>180</v>
      </c>
      <c r="B181" t="s">
        <v>186</v>
      </c>
      <c r="C181" t="s">
        <v>383</v>
      </c>
      <c r="D181" t="s">
        <v>416</v>
      </c>
      <c r="I181">
        <v>10000</v>
      </c>
      <c r="K181" t="s">
        <v>589</v>
      </c>
      <c r="L181">
        <f>HYPERLINK("https://maps.cookcountyil.gov/cookviewer/?search=5833 S OAK PARK AVE", "5833 S OAK PARK AVE")</f>
        <v>0</v>
      </c>
      <c r="N181" t="s">
        <v>606</v>
      </c>
      <c r="P181" t="s">
        <v>769</v>
      </c>
      <c r="Q181" t="s">
        <v>950</v>
      </c>
      <c r="U181">
        <f>HYPERLINK("https://www.cookcountyassessoril.gov/pin/19182240660000", "19-18-224-066-0000")</f>
        <v>0</v>
      </c>
      <c r="V181" t="s">
        <v>969</v>
      </c>
    </row>
    <row r="182" spans="1:22">
      <c r="A182">
        <v>181</v>
      </c>
      <c r="B182" t="s">
        <v>187</v>
      </c>
      <c r="C182" t="s">
        <v>384</v>
      </c>
      <c r="D182" t="s">
        <v>412</v>
      </c>
      <c r="I182">
        <v>27000</v>
      </c>
      <c r="K182" t="s">
        <v>590</v>
      </c>
      <c r="L182">
        <f>HYPERLINK("https://maps.cookcountyil.gov/cookviewer/?search=8026 S PRINCETON AVE", "8026 S PRINCETON AVE")</f>
        <v>0</v>
      </c>
      <c r="N182" t="s">
        <v>606</v>
      </c>
      <c r="P182" t="s">
        <v>770</v>
      </c>
      <c r="Q182" t="s">
        <v>951</v>
      </c>
      <c r="U182" t="s">
        <v>967</v>
      </c>
      <c r="V182" t="s">
        <v>969</v>
      </c>
    </row>
    <row r="183" spans="1:22">
      <c r="A183">
        <v>182</v>
      </c>
      <c r="B183" t="s">
        <v>188</v>
      </c>
      <c r="C183" t="s">
        <v>385</v>
      </c>
      <c r="D183" t="s">
        <v>424</v>
      </c>
      <c r="I183">
        <v>3500</v>
      </c>
      <c r="K183" t="s">
        <v>591</v>
      </c>
      <c r="L183">
        <f>HYPERLINK("https://maps.cookcountyil.gov/cookviewer/?search=7611 S LUELLA AVE", "7611 S LUELLA AVE")</f>
        <v>0</v>
      </c>
      <c r="N183" t="s">
        <v>606</v>
      </c>
      <c r="P183" t="s">
        <v>771</v>
      </c>
      <c r="Q183" t="s">
        <v>952</v>
      </c>
      <c r="U183">
        <f>HYPERLINK("https://www.cookcountyassessoril.gov/pin/20254130040000", "20-25-413-004-0000")</f>
        <v>0</v>
      </c>
      <c r="V183" t="s">
        <v>968</v>
      </c>
    </row>
    <row r="184" spans="1:22">
      <c r="A184">
        <v>183</v>
      </c>
      <c r="B184" t="s">
        <v>189</v>
      </c>
      <c r="C184" t="s">
        <v>386</v>
      </c>
      <c r="D184" t="s">
        <v>419</v>
      </c>
      <c r="I184">
        <v>2000</v>
      </c>
      <c r="K184" t="s">
        <v>592</v>
      </c>
      <c r="L184">
        <f>HYPERLINK("https://maps.cookcountyil.gov/cookviewer/?search=2634 S WELLS ST", "2634 S WELLS ST")</f>
        <v>0</v>
      </c>
      <c r="N184" t="s">
        <v>606</v>
      </c>
      <c r="P184" t="s">
        <v>772</v>
      </c>
      <c r="Q184" t="s">
        <v>953</v>
      </c>
      <c r="U184" t="s">
        <v>967</v>
      </c>
      <c r="V184" t="s">
        <v>968</v>
      </c>
    </row>
    <row r="185" spans="1:22">
      <c r="A185">
        <v>184</v>
      </c>
      <c r="B185" t="s">
        <v>190</v>
      </c>
      <c r="C185" t="s">
        <v>387</v>
      </c>
      <c r="D185" t="s">
        <v>412</v>
      </c>
      <c r="I185">
        <v>500</v>
      </c>
      <c r="K185" t="s">
        <v>593</v>
      </c>
      <c r="L185">
        <f>HYPERLINK("https://maps.cookcountyil.gov/cookviewer/?search=3328 N SHEFFIELD AVE", "3328 N SHEFFIELD AVE")</f>
        <v>0</v>
      </c>
      <c r="N185" t="s">
        <v>606</v>
      </c>
      <c r="P185" t="s">
        <v>773</v>
      </c>
      <c r="Q185" t="s">
        <v>954</v>
      </c>
      <c r="U185">
        <f>HYPERLINK("https://www.cookcountyassessoril.gov/pin/14204170431003", "14-20-417-043-1003"), =HYPERLINK("https://www.cookcountyassessoril.gov/pin/14204170431006", "14-20-417-043-1006"), =HYPERLINK("https://www.cookcountyassessoril.gov/pin/14204170431004", "14-20-417-043-1004"), =HYPERLINK("https://www.cookcountyassessoril.gov/pin/14204170431002", "14-20-417-043-1002"), =HYPERLINK("https://www.cookcountyassessoril.gov/pin/14204170431005", "14-20-417-043-1005"), =HYPERLINK("https://www.cookcountyassessoril.gov/pin/14204170431001", "14-20-417-043-1001")</f>
        <v>0</v>
      </c>
      <c r="V185" t="s">
        <v>968</v>
      </c>
    </row>
    <row r="186" spans="1:22">
      <c r="A186">
        <v>185</v>
      </c>
      <c r="B186" t="s">
        <v>191</v>
      </c>
      <c r="C186" t="s">
        <v>388</v>
      </c>
      <c r="D186" t="s">
        <v>404</v>
      </c>
      <c r="I186">
        <v>500</v>
      </c>
      <c r="K186" t="s">
        <v>594</v>
      </c>
      <c r="L186">
        <f>HYPERLINK("https://maps.cookcountyil.gov/cookviewer/?search=2501 N SACRAMENTO AVE", "2501 N SACRAMENTO AVE")</f>
        <v>0</v>
      </c>
      <c r="N186" t="s">
        <v>606</v>
      </c>
      <c r="P186" t="s">
        <v>774</v>
      </c>
      <c r="Q186" t="s">
        <v>955</v>
      </c>
      <c r="U186" t="s">
        <v>967</v>
      </c>
      <c r="V186" t="s">
        <v>968</v>
      </c>
    </row>
    <row r="187" spans="1:22">
      <c r="A187">
        <v>186</v>
      </c>
      <c r="B187" t="s">
        <v>192</v>
      </c>
      <c r="C187" t="s">
        <v>389</v>
      </c>
      <c r="D187" t="s">
        <v>425</v>
      </c>
      <c r="I187">
        <v>6800</v>
      </c>
      <c r="K187" t="s">
        <v>595</v>
      </c>
      <c r="L187">
        <f>HYPERLINK("https://maps.cookcountyil.gov/cookviewer/?search=4624 S ELLIS AVE", "4624 S ELLIS AVE")</f>
        <v>0</v>
      </c>
      <c r="N187" t="s">
        <v>606</v>
      </c>
      <c r="P187" t="s">
        <v>775</v>
      </c>
      <c r="Q187" t="s">
        <v>956</v>
      </c>
      <c r="U187">
        <f>HYPERLINK("https://www.cookcountyassessoril.gov/pin/20023160230000", "20-02-316-023-0000")</f>
        <v>0</v>
      </c>
      <c r="V187" t="s">
        <v>968</v>
      </c>
    </row>
    <row r="188" spans="1:22">
      <c r="A188">
        <v>187</v>
      </c>
      <c r="B188" t="s">
        <v>193</v>
      </c>
      <c r="C188" t="s">
        <v>390</v>
      </c>
      <c r="D188" t="s">
        <v>404</v>
      </c>
      <c r="I188">
        <v>10500</v>
      </c>
      <c r="K188" t="s">
        <v>596</v>
      </c>
      <c r="L188">
        <f>HYPERLINK("https://maps.cookcountyil.gov/cookviewer/?search=7641 S WOOD ST", "7641 S WOOD ST")</f>
        <v>0</v>
      </c>
      <c r="N188" t="s">
        <v>606</v>
      </c>
      <c r="P188" t="s">
        <v>776</v>
      </c>
      <c r="Q188" t="s">
        <v>957</v>
      </c>
      <c r="U188" t="s">
        <v>967</v>
      </c>
      <c r="V188" t="s">
        <v>968</v>
      </c>
    </row>
    <row r="189" spans="1:22">
      <c r="A189">
        <v>188</v>
      </c>
      <c r="B189" t="s">
        <v>194</v>
      </c>
      <c r="C189" t="s">
        <v>391</v>
      </c>
      <c r="D189" t="s">
        <v>404</v>
      </c>
      <c r="I189">
        <v>2000</v>
      </c>
      <c r="K189" t="s">
        <v>597</v>
      </c>
      <c r="L189">
        <f>HYPERLINK("https://maps.cookcountyil.gov/cookviewer/?search=3500 W 81ST PL", "3500 W 81ST PL")</f>
        <v>0</v>
      </c>
      <c r="N189" t="s">
        <v>606</v>
      </c>
      <c r="P189" t="s">
        <v>777</v>
      </c>
      <c r="Q189" t="s">
        <v>958</v>
      </c>
      <c r="U189">
        <f>HYPERLINK("https://www.cookcountyassessoril.gov/pin/19352140290000", "19-35-214-029-0000")</f>
        <v>0</v>
      </c>
      <c r="V189" t="s">
        <v>968</v>
      </c>
    </row>
    <row r="190" spans="1:22">
      <c r="A190">
        <v>189</v>
      </c>
      <c r="B190" t="s">
        <v>42</v>
      </c>
      <c r="C190" t="s">
        <v>392</v>
      </c>
      <c r="D190" t="s">
        <v>404</v>
      </c>
      <c r="I190">
        <v>18243</v>
      </c>
      <c r="K190" t="s">
        <v>445</v>
      </c>
      <c r="L190">
        <f>HYPERLINK("https://maps.cookcountyil.gov/cookviewer/?search=1848 N SPRINGFIELD AVE", "1848 N SPRINGFIELD AVE")</f>
        <v>0</v>
      </c>
      <c r="N190" t="s">
        <v>606</v>
      </c>
      <c r="P190" t="s">
        <v>626</v>
      </c>
      <c r="Q190" t="s">
        <v>959</v>
      </c>
      <c r="U190">
        <f>HYPERLINK("https://www.cookcountyassessoril.gov/pin/13353080220000", "13-35-308-022-0000")</f>
        <v>0</v>
      </c>
      <c r="V190" t="s">
        <v>969</v>
      </c>
    </row>
    <row r="191" spans="1:22">
      <c r="A191">
        <v>190</v>
      </c>
      <c r="B191" t="s">
        <v>137</v>
      </c>
      <c r="C191" t="s">
        <v>393</v>
      </c>
      <c r="D191" t="s">
        <v>404</v>
      </c>
      <c r="I191">
        <v>22591</v>
      </c>
      <c r="K191" t="s">
        <v>540</v>
      </c>
      <c r="L191">
        <f>HYPERLINK("https://maps.cookcountyil.gov/cookviewer/?search=11719 S ASHLAND AVE", "11719 S ASHLAND AVE")</f>
        <v>0</v>
      </c>
      <c r="N191" t="s">
        <v>606</v>
      </c>
      <c r="P191" t="s">
        <v>720</v>
      </c>
      <c r="Q191" t="s">
        <v>960</v>
      </c>
      <c r="U191">
        <f>HYPERLINK("https://www.cookcountyassessoril.gov/pin/25203140070000", "25-20-314-007-0000")</f>
        <v>0</v>
      </c>
      <c r="V191" t="s">
        <v>969</v>
      </c>
    </row>
    <row r="192" spans="1:22">
      <c r="A192">
        <v>191</v>
      </c>
      <c r="B192" t="s">
        <v>195</v>
      </c>
      <c r="C192" t="s">
        <v>394</v>
      </c>
      <c r="D192" t="s">
        <v>404</v>
      </c>
      <c r="I192">
        <v>16971</v>
      </c>
      <c r="K192" t="s">
        <v>598</v>
      </c>
      <c r="L192">
        <f>HYPERLINK("https://maps.cookcountyil.gov/cookviewer/?search=500 W MONROE ST", "500 W MONROE ST")</f>
        <v>0</v>
      </c>
      <c r="N192" t="s">
        <v>606</v>
      </c>
      <c r="P192" t="s">
        <v>778</v>
      </c>
      <c r="Q192" t="s">
        <v>961</v>
      </c>
      <c r="U192">
        <f>HYPERLINK("https://www.cookcountyassessoril.gov/pin/17161030150000", "17-16-103-015-0000")</f>
        <v>0</v>
      </c>
      <c r="V192" t="s">
        <v>968</v>
      </c>
    </row>
    <row r="193" spans="1:22">
      <c r="A193">
        <v>192</v>
      </c>
      <c r="B193" t="s">
        <v>196</v>
      </c>
      <c r="C193" t="s">
        <v>395</v>
      </c>
      <c r="D193" t="s">
        <v>404</v>
      </c>
      <c r="I193">
        <v>50000</v>
      </c>
      <c r="K193" t="s">
        <v>599</v>
      </c>
      <c r="L193">
        <f>HYPERLINK("https://maps.cookcountyil.gov/cookviewer/?search=4924 N ROCKWELL ST", "4924 N ROCKWELL ST")</f>
        <v>0</v>
      </c>
      <c r="N193" t="s">
        <v>606</v>
      </c>
      <c r="P193" t="s">
        <v>779</v>
      </c>
      <c r="Q193" t="s">
        <v>962</v>
      </c>
      <c r="U193">
        <f>HYPERLINK("https://www.cookcountyassessoril.gov/pin/13124140220000", "13-12-414-022-0000")</f>
        <v>0</v>
      </c>
      <c r="V193" t="s">
        <v>969</v>
      </c>
    </row>
    <row r="194" spans="1:22">
      <c r="A194">
        <v>193</v>
      </c>
      <c r="B194" t="s">
        <v>197</v>
      </c>
      <c r="C194" t="s">
        <v>395</v>
      </c>
      <c r="D194" t="s">
        <v>404</v>
      </c>
      <c r="I194">
        <v>50000</v>
      </c>
      <c r="K194" t="s">
        <v>599</v>
      </c>
      <c r="L194">
        <f>HYPERLINK("https://maps.cookcountyil.gov/cookviewer/?search=4924 N ROCKWELL ST", "4924 N ROCKWELL ST")</f>
        <v>0</v>
      </c>
      <c r="N194" t="s">
        <v>606</v>
      </c>
      <c r="P194" t="s">
        <v>779</v>
      </c>
      <c r="Q194" t="s">
        <v>962</v>
      </c>
      <c r="U194">
        <f>HYPERLINK("https://www.cookcountyassessoril.gov/pin/13124140220000", "13-12-414-022-0000")</f>
        <v>0</v>
      </c>
      <c r="V194" t="s">
        <v>969</v>
      </c>
    </row>
    <row r="195" spans="1:22">
      <c r="A195">
        <v>194</v>
      </c>
      <c r="B195" t="s">
        <v>198</v>
      </c>
      <c r="C195" t="s">
        <v>396</v>
      </c>
      <c r="D195" t="s">
        <v>404</v>
      </c>
      <c r="I195">
        <v>10000</v>
      </c>
      <c r="K195" t="s">
        <v>600</v>
      </c>
      <c r="L195">
        <f>HYPERLINK("https://maps.cookcountyil.gov/cookviewer/?search=9836 S GREENWOOD AVE", "9836 S GREENWOOD AVE")</f>
        <v>0</v>
      </c>
      <c r="N195" t="s">
        <v>606</v>
      </c>
      <c r="P195" t="s">
        <v>780</v>
      </c>
      <c r="Q195" t="s">
        <v>864</v>
      </c>
      <c r="U195">
        <f>HYPERLINK("https://www.cookcountyassessoril.gov/pin/25111230330000", "25-11-123-033-0000")</f>
        <v>0</v>
      </c>
      <c r="V195" t="s">
        <v>969</v>
      </c>
    </row>
    <row r="196" spans="1:22">
      <c r="A196">
        <v>195</v>
      </c>
      <c r="B196" t="s">
        <v>199</v>
      </c>
      <c r="C196" t="s">
        <v>397</v>
      </c>
      <c r="D196" t="s">
        <v>404</v>
      </c>
      <c r="I196">
        <v>10500</v>
      </c>
      <c r="K196" t="s">
        <v>601</v>
      </c>
      <c r="L196">
        <f>HYPERLINK("https://maps.cookcountyil.gov/cookviewer/?search=315 W 118TH ST", "315 W 118TH ST")</f>
        <v>0</v>
      </c>
      <c r="N196" t="s">
        <v>606</v>
      </c>
      <c r="P196" t="s">
        <v>776</v>
      </c>
      <c r="Q196" t="s">
        <v>957</v>
      </c>
      <c r="U196">
        <f>HYPERLINK("https://www.cookcountyassessoril.gov/pin/25214230040000", "25-21-423-004-0000")</f>
        <v>0</v>
      </c>
      <c r="V196" t="s">
        <v>968</v>
      </c>
    </row>
    <row r="197" spans="1:22">
      <c r="A197">
        <v>196</v>
      </c>
      <c r="B197" t="s">
        <v>200</v>
      </c>
      <c r="C197" t="s">
        <v>398</v>
      </c>
      <c r="D197" t="s">
        <v>404</v>
      </c>
      <c r="I197">
        <v>3151</v>
      </c>
      <c r="K197" t="s">
        <v>602</v>
      </c>
      <c r="L197">
        <f>HYPERLINK("https://maps.cookcountyil.gov/cookviewer/?search=1437 S SPRINGFIELD AVE", "1437 S SPRINGFIELD AVE")</f>
        <v>0</v>
      </c>
      <c r="N197" t="s">
        <v>606</v>
      </c>
      <c r="P197" t="s">
        <v>781</v>
      </c>
      <c r="Q197" t="s">
        <v>963</v>
      </c>
      <c r="U197">
        <f>HYPERLINK("https://www.cookcountyassessoril.gov/pin/16231160160000", "16-23-116-016-0000")</f>
        <v>0</v>
      </c>
      <c r="V197" t="s">
        <v>968</v>
      </c>
    </row>
    <row r="198" spans="1:22">
      <c r="A198">
        <v>197</v>
      </c>
      <c r="B198" t="s">
        <v>201</v>
      </c>
      <c r="C198" t="s">
        <v>399</v>
      </c>
      <c r="D198" t="s">
        <v>407</v>
      </c>
      <c r="I198">
        <v>15906</v>
      </c>
      <c r="K198" t="s">
        <v>603</v>
      </c>
      <c r="L198">
        <f>HYPERLINK("https://maps.cookcountyil.gov/cookviewer/?search=10410 S GREEN ST", "10410 S GREEN ST")</f>
        <v>0</v>
      </c>
      <c r="N198" t="s">
        <v>606</v>
      </c>
      <c r="P198" t="s">
        <v>782</v>
      </c>
      <c r="Q198" t="s">
        <v>964</v>
      </c>
      <c r="U198">
        <f>HYPERLINK("https://www.cookcountyassessoril.gov/pin/25172140700000", "25-17-214-070-0000")</f>
        <v>0</v>
      </c>
      <c r="V198" t="s">
        <v>969</v>
      </c>
    </row>
    <row r="199" spans="1:22">
      <c r="A199">
        <v>198</v>
      </c>
      <c r="B199" t="s">
        <v>202</v>
      </c>
      <c r="C199" t="s">
        <v>400</v>
      </c>
      <c r="D199" t="s">
        <v>404</v>
      </c>
      <c r="I199">
        <v>85000</v>
      </c>
      <c r="K199" t="s">
        <v>604</v>
      </c>
      <c r="L199">
        <f>HYPERLINK("https://maps.cookcountyil.gov/cookviewer/?search=10000 W OHARE ST", "10000 W OHARE ST")</f>
        <v>0</v>
      </c>
      <c r="N199" t="s">
        <v>606</v>
      </c>
      <c r="P199" t="s">
        <v>783</v>
      </c>
      <c r="Q199" t="s">
        <v>965</v>
      </c>
      <c r="U199" t="s">
        <v>967</v>
      </c>
      <c r="V199" t="s">
        <v>968</v>
      </c>
    </row>
    <row r="200" spans="1:22">
      <c r="A200">
        <v>199</v>
      </c>
      <c r="B200" t="s">
        <v>201</v>
      </c>
      <c r="C200" t="s">
        <v>401</v>
      </c>
      <c r="D200" t="s">
        <v>404</v>
      </c>
      <c r="I200">
        <v>5000</v>
      </c>
      <c r="K200" t="s">
        <v>603</v>
      </c>
      <c r="L200">
        <f>HYPERLINK("https://maps.cookcountyil.gov/cookviewer/?search=10410 S GREEN ST", "10410 S GREEN ST")</f>
        <v>0</v>
      </c>
      <c r="N200" t="s">
        <v>606</v>
      </c>
      <c r="P200" t="s">
        <v>782</v>
      </c>
      <c r="Q200" t="s">
        <v>833</v>
      </c>
      <c r="U200">
        <f>HYPERLINK("https://www.cookcountyassessoril.gov/pin/25172140700000", "25-17-214-070-0000")</f>
        <v>0</v>
      </c>
      <c r="V200" t="s">
        <v>968</v>
      </c>
    </row>
    <row r="201" spans="1:22">
      <c r="A201">
        <v>200</v>
      </c>
      <c r="B201" t="s">
        <v>203</v>
      </c>
      <c r="C201" t="s">
        <v>402</v>
      </c>
      <c r="D201" t="s">
        <v>404</v>
      </c>
      <c r="I201">
        <v>11372</v>
      </c>
      <c r="K201" t="s">
        <v>605</v>
      </c>
      <c r="L201">
        <f>HYPERLINK("https://maps.cookcountyil.gov/cookviewer/?search=4848 N MERRIMAC AVE", "4848 N MERRIMAC AVE")</f>
        <v>0</v>
      </c>
      <c r="N201" t="s">
        <v>606</v>
      </c>
      <c r="P201" t="s">
        <v>784</v>
      </c>
      <c r="Q201" t="s">
        <v>966</v>
      </c>
      <c r="U201">
        <f>HYPERLINK("https://www.cookcountyassessoril.gov/pin/13083180640000", "13-08-318-064-0000")</f>
        <v>0</v>
      </c>
      <c r="V201" t="s">
        <v>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2025-09-09T20:01:41Z</dcterms:created>
  <dcterms:modified xsi:type="dcterms:W3CDTF">2025-09-09T20:01:41Z</dcterms:modified>
</cp:coreProperties>
</file>