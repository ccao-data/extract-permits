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<sst xmlns="http://schemas.openxmlformats.org/spreadsheetml/2006/main" count="1678" uniqueCount="992">
  <si>
    <t># [LLINE]</t>
  </si>
  <si>
    <t>PIN* [PARID]</t>
  </si>
  <si>
    <t>Local Permit No.* [USER28]</t>
  </si>
  <si>
    <t>Issue Date* [PERMDT]</t>
  </si>
  <si>
    <t>Desc 1* [DESC1]</t>
  </si>
  <si>
    <t>Desc 2 Code 1 [USER6]</t>
  </si>
  <si>
    <t>Desc 2 Code 2 [USER7]</t>
  </si>
  <si>
    <t>Desc 2 Code 3 [USER8]</t>
  </si>
  <si>
    <t>Amount* [AMOUNT]</t>
  </si>
  <si>
    <t>Assessable [IS_ASSESS]</t>
  </si>
  <si>
    <t>Applicant Street Address* [ADDR1]</t>
  </si>
  <si>
    <t>Property Address</t>
  </si>
  <si>
    <t>Applicant Address 2 [ADDR2]</t>
  </si>
  <si>
    <t>Applicant City, State, Zip* [ADDR3]</t>
  </si>
  <si>
    <t>Contact Phone* [PHONE]</t>
  </si>
  <si>
    <t>Applicant* [USER21]</t>
  </si>
  <si>
    <t>Notes [NOTE1]</t>
  </si>
  <si>
    <t>Occupy Dt [UDATE1]</t>
  </si>
  <si>
    <t>Submit Dt* [CERTDATE]</t>
  </si>
  <si>
    <t>Est Comp Dt [UDATE2]</t>
  </si>
  <si>
    <t>Suggested PINs</t>
  </si>
  <si>
    <t>Likely_Assessable</t>
  </si>
  <si>
    <t>user21</t>
  </si>
  <si>
    <t>17082350490000</t>
  </si>
  <si>
    <t>13353160210000</t>
  </si>
  <si>
    <t>14051120070000</t>
  </si>
  <si>
    <t>13224090260000</t>
  </si>
  <si>
    <t>17161040070000</t>
  </si>
  <si>
    <t>19013230100000</t>
  </si>
  <si>
    <t>11321090190000</t>
  </si>
  <si>
    <t>17094280010000</t>
  </si>
  <si>
    <t>13123060100000</t>
  </si>
  <si>
    <t>13303120070000</t>
  </si>
  <si>
    <t>17221091380000</t>
  </si>
  <si>
    <t>14183280030000</t>
  </si>
  <si>
    <t>17094050040000</t>
  </si>
  <si>
    <t>25013210220000</t>
  </si>
  <si>
    <t>13091200370000</t>
  </si>
  <si>
    <t>13081170390000</t>
  </si>
  <si>
    <t>11293110240000</t>
  </si>
  <si>
    <t>12232290240000</t>
  </si>
  <si>
    <t>19362030370000</t>
  </si>
  <si>
    <t>19144300170000</t>
  </si>
  <si>
    <t>16052020190000</t>
  </si>
  <si>
    <t>13024170080000</t>
  </si>
  <si>
    <t>13012060320000</t>
  </si>
  <si>
    <t>14334010360000</t>
  </si>
  <si>
    <t>13093280050000</t>
  </si>
  <si>
    <t>26312150150000</t>
  </si>
  <si>
    <t>19011300130000</t>
  </si>
  <si>
    <t>12081000060000</t>
  </si>
  <si>
    <t>14051160340000</t>
  </si>
  <si>
    <t>14073210220000</t>
  </si>
  <si>
    <t>13202280330000</t>
  </si>
  <si>
    <t>25322110390000</t>
  </si>
  <si>
    <t>16012030250000</t>
  </si>
  <si>
    <t>13242050360000</t>
  </si>
  <si>
    <t>14313140370000</t>
  </si>
  <si>
    <t>20112050010000</t>
  </si>
  <si>
    <t>16234070090000</t>
  </si>
  <si>
    <t>20222110350000</t>
  </si>
  <si>
    <t>19232150270000</t>
  </si>
  <si>
    <t>25152030440000</t>
  </si>
  <si>
    <t>10313050010000</t>
  </si>
  <si>
    <t>13223110180000</t>
  </si>
  <si>
    <t>20304000290000</t>
  </si>
  <si>
    <t>19184200210000</t>
  </si>
  <si>
    <t>13324070330000</t>
  </si>
  <si>
    <t>17271050310000</t>
  </si>
  <si>
    <t>16043210220000</t>
  </si>
  <si>
    <t>19134200360000</t>
  </si>
  <si>
    <t>25351000210000</t>
  </si>
  <si>
    <t>13194270160000</t>
  </si>
  <si>
    <t>19013130110000</t>
  </si>
  <si>
    <t>17162090080000</t>
  </si>
  <si>
    <t>17204410020000</t>
  </si>
  <si>
    <t>21303010210000</t>
  </si>
  <si>
    <t>13321120040000</t>
  </si>
  <si>
    <t>13292300300000</t>
  </si>
  <si>
    <t>19172210340000</t>
  </si>
  <si>
    <t>17084460170000</t>
  </si>
  <si>
    <t>14304000640000</t>
  </si>
  <si>
    <t>13232100230000</t>
  </si>
  <si>
    <t>16084050330000</t>
  </si>
  <si>
    <t>20271230300000</t>
  </si>
  <si>
    <t>17161090180000</t>
  </si>
  <si>
    <t>12113010250000</t>
  </si>
  <si>
    <t>20341020260000</t>
  </si>
  <si>
    <t>25023120330000</t>
  </si>
  <si>
    <t>26182130770000</t>
  </si>
  <si>
    <t>20352200140000</t>
  </si>
  <si>
    <t>14302221580000</t>
  </si>
  <si>
    <t>14304050250000</t>
  </si>
  <si>
    <t>25201140550000</t>
  </si>
  <si>
    <t>17063070260000</t>
  </si>
  <si>
    <t>20102140310000</t>
  </si>
  <si>
    <t>14071140200000</t>
  </si>
  <si>
    <t>16131160050000</t>
  </si>
  <si>
    <t>17031100130000</t>
  </si>
  <si>
    <t>13154000260000</t>
  </si>
  <si>
    <t>13361010050000</t>
  </si>
  <si>
    <t>17172240170000</t>
  </si>
  <si>
    <t>13254240310000</t>
  </si>
  <si>
    <t>16241030390000</t>
  </si>
  <si>
    <t>19131140290000</t>
  </si>
  <si>
    <t>17074100160000</t>
  </si>
  <si>
    <t>17063060300000</t>
  </si>
  <si>
    <t>25152240200000</t>
  </si>
  <si>
    <t>25141000590000</t>
  </si>
  <si>
    <t>25141000620000</t>
  </si>
  <si>
    <t>13224080160000</t>
  </si>
  <si>
    <t>13131160200000</t>
  </si>
  <si>
    <t>19013070400000</t>
  </si>
  <si>
    <t>16021080440000</t>
  </si>
  <si>
    <t>19103120490000</t>
  </si>
  <si>
    <t>13122070220000</t>
  </si>
  <si>
    <t>17084320150000</t>
  </si>
  <si>
    <t>16082130080000</t>
  </si>
  <si>
    <t>20193330200000</t>
  </si>
  <si>
    <t>14183100130000</t>
  </si>
  <si>
    <t>17053080620000</t>
  </si>
  <si>
    <t>13211280240000</t>
  </si>
  <si>
    <t>17104000480000</t>
  </si>
  <si>
    <t>20113200100000</t>
  </si>
  <si>
    <t>17043150060000</t>
  </si>
  <si>
    <t>19184330310000</t>
  </si>
  <si>
    <t>13143180050000</t>
  </si>
  <si>
    <t>25014090540000</t>
  </si>
  <si>
    <t>25172120280000</t>
  </si>
  <si>
    <t>09365000050000</t>
  </si>
  <si>
    <t>20354240340000</t>
  </si>
  <si>
    <t>13273170120000</t>
  </si>
  <si>
    <t>14203030310000</t>
  </si>
  <si>
    <t>17093070120000</t>
  </si>
  <si>
    <t>12014040250000</t>
  </si>
  <si>
    <t>19252050010000</t>
  </si>
  <si>
    <t>13362280030000</t>
  </si>
  <si>
    <t>19244100040000</t>
  </si>
  <si>
    <t>16084060100000</t>
  </si>
  <si>
    <t>17344300020000</t>
  </si>
  <si>
    <t>19011120320000</t>
  </si>
  <si>
    <t>20364090070000</t>
  </si>
  <si>
    <t>17344170280000</t>
  </si>
  <si>
    <t>24132170240000</t>
  </si>
  <si>
    <t>24132170250000</t>
  </si>
  <si>
    <t>24132170260000</t>
  </si>
  <si>
    <t>17051050270000</t>
  </si>
  <si>
    <t>20353060500000</t>
  </si>
  <si>
    <t>19074140220000</t>
  </si>
  <si>
    <t>14181330200000</t>
  </si>
  <si>
    <t>11293110290000</t>
  </si>
  <si>
    <t>13091320290000</t>
  </si>
  <si>
    <t>25023150010000</t>
  </si>
  <si>
    <t>14183120260000</t>
  </si>
  <si>
    <t>19262160310000</t>
  </si>
  <si>
    <t>13324050250000</t>
  </si>
  <si>
    <t>19341200320000</t>
  </si>
  <si>
    <t>14292120210000</t>
  </si>
  <si>
    <t>13352340380000</t>
  </si>
  <si>
    <t>20101200220000</t>
  </si>
  <si>
    <t>14281030430000</t>
  </si>
  <si>
    <t>19233070340000</t>
  </si>
  <si>
    <t>17322172130000</t>
  </si>
  <si>
    <t>12244000270000</t>
  </si>
  <si>
    <t>17194270480000</t>
  </si>
  <si>
    <t>20101210430000</t>
  </si>
  <si>
    <t>19113200500000</t>
  </si>
  <si>
    <t>17331060430000</t>
  </si>
  <si>
    <t>17161100050000</t>
  </si>
  <si>
    <t>14211100200000</t>
  </si>
  <si>
    <t>25043270260000</t>
  </si>
  <si>
    <t>19184070200000</t>
  </si>
  <si>
    <t>20202060010000</t>
  </si>
  <si>
    <t>20043300290000</t>
  </si>
  <si>
    <t>19103140060000</t>
  </si>
  <si>
    <t>26173250780000</t>
  </si>
  <si>
    <t>25053080350000</t>
  </si>
  <si>
    <t>19011320310000</t>
  </si>
  <si>
    <t>12141130240000</t>
  </si>
  <si>
    <t>14294060380000</t>
  </si>
  <si>
    <t>17042070860000</t>
  </si>
  <si>
    <t>16054020310000</t>
  </si>
  <si>
    <t>13072080010000</t>
  </si>
  <si>
    <t>13313250060000</t>
  </si>
  <si>
    <t>13081090220000</t>
  </si>
  <si>
    <t>19221110120000</t>
  </si>
  <si>
    <t>25203020160000</t>
  </si>
  <si>
    <t>17063150130000</t>
  </si>
  <si>
    <t>20072140060000</t>
  </si>
  <si>
    <t>16021180290000</t>
  </si>
  <si>
    <t>20222000150000</t>
  </si>
  <si>
    <t>25122280010000</t>
  </si>
  <si>
    <t>13264030230000</t>
  </si>
  <si>
    <t>16143280390000</t>
  </si>
  <si>
    <t>17162010070000</t>
  </si>
  <si>
    <t>14281130290000</t>
  </si>
  <si>
    <t>20154170280000</t>
  </si>
  <si>
    <t>24133010010000</t>
  </si>
  <si>
    <t>14182230360000</t>
  </si>
  <si>
    <t>14081170490000</t>
  </si>
  <si>
    <t>19362070180000</t>
  </si>
  <si>
    <t>25072050010000</t>
  </si>
  <si>
    <t>20363060110000</t>
  </si>
  <si>
    <t>14281030550000</t>
  </si>
  <si>
    <t>10314090290000</t>
  </si>
  <si>
    <t>25214190450000</t>
  </si>
  <si>
    <t>13353050180000</t>
  </si>
  <si>
    <t>13194170320000</t>
  </si>
  <si>
    <t>19181040060000</t>
  </si>
  <si>
    <t>24131100440000</t>
  </si>
  <si>
    <t>14213020330000</t>
  </si>
  <si>
    <t>20114170140000</t>
  </si>
  <si>
    <t>14313040500000</t>
  </si>
  <si>
    <t>16264110040000</t>
  </si>
  <si>
    <t>B200437720</t>
  </si>
  <si>
    <t>B200437727</t>
  </si>
  <si>
    <t>B200437738</t>
  </si>
  <si>
    <t>B200437745</t>
  </si>
  <si>
    <t>B200437749</t>
  </si>
  <si>
    <t>B200437755</t>
  </si>
  <si>
    <t>B200437756</t>
  </si>
  <si>
    <t>B200437757</t>
  </si>
  <si>
    <t>B200437765</t>
  </si>
  <si>
    <t>B200437766</t>
  </si>
  <si>
    <t>B200437767</t>
  </si>
  <si>
    <t>B200437773</t>
  </si>
  <si>
    <t>B200437775</t>
  </si>
  <si>
    <t>B200437776</t>
  </si>
  <si>
    <t>B200437780</t>
  </si>
  <si>
    <t>B200437781</t>
  </si>
  <si>
    <t>B200437791</t>
  </si>
  <si>
    <t>B200437794</t>
  </si>
  <si>
    <t>B200437795</t>
  </si>
  <si>
    <t>B200437799</t>
  </si>
  <si>
    <t>B200437806</t>
  </si>
  <si>
    <t>B200437808</t>
  </si>
  <si>
    <t>B200437809</t>
  </si>
  <si>
    <t>B200437811</t>
  </si>
  <si>
    <t>B200437817</t>
  </si>
  <si>
    <t>B200437819</t>
  </si>
  <si>
    <t>B200437820</t>
  </si>
  <si>
    <t>B200437822</t>
  </si>
  <si>
    <t>B200437823</t>
  </si>
  <si>
    <t>B200437830</t>
  </si>
  <si>
    <t>B200437831</t>
  </si>
  <si>
    <t>B200437847</t>
  </si>
  <si>
    <t>B200437848</t>
  </si>
  <si>
    <t>B200437849</t>
  </si>
  <si>
    <t>B200437852</t>
  </si>
  <si>
    <t>B200437854</t>
  </si>
  <si>
    <t>B200437870</t>
  </si>
  <si>
    <t>B200437875</t>
  </si>
  <si>
    <t>B200437878</t>
  </si>
  <si>
    <t>B200437879</t>
  </si>
  <si>
    <t>B200437880</t>
  </si>
  <si>
    <t>B200437884</t>
  </si>
  <si>
    <t>B200437885</t>
  </si>
  <si>
    <t>B200437887</t>
  </si>
  <si>
    <t>B200437889</t>
  </si>
  <si>
    <t>B200437892</t>
  </si>
  <si>
    <t>B200437897</t>
  </si>
  <si>
    <t>B200437898</t>
  </si>
  <si>
    <t>B200437899</t>
  </si>
  <si>
    <t>B200437902</t>
  </si>
  <si>
    <t>B200437906</t>
  </si>
  <si>
    <t>B200437911</t>
  </si>
  <si>
    <t>B200437914</t>
  </si>
  <si>
    <t>B200437917</t>
  </si>
  <si>
    <t>B200437919</t>
  </si>
  <si>
    <t>B200437935</t>
  </si>
  <si>
    <t>B200437941</t>
  </si>
  <si>
    <t>B200437942</t>
  </si>
  <si>
    <t>B200437951</t>
  </si>
  <si>
    <t>B200437960</t>
  </si>
  <si>
    <t>B200437964</t>
  </si>
  <si>
    <t>B200437965</t>
  </si>
  <si>
    <t>B200437967</t>
  </si>
  <si>
    <t>B200437971</t>
  </si>
  <si>
    <t>B200437978</t>
  </si>
  <si>
    <t>B200437980</t>
  </si>
  <si>
    <t>B200437983</t>
  </si>
  <si>
    <t>B200437986</t>
  </si>
  <si>
    <t>B200437988</t>
  </si>
  <si>
    <t>B200437990</t>
  </si>
  <si>
    <t>B200437996</t>
  </si>
  <si>
    <t>B200437997</t>
  </si>
  <si>
    <t>B200438001</t>
  </si>
  <si>
    <t>B200438002</t>
  </si>
  <si>
    <t>B200438004</t>
  </si>
  <si>
    <t>B200438016</t>
  </si>
  <si>
    <t>B200438017</t>
  </si>
  <si>
    <t>B200438018</t>
  </si>
  <si>
    <t>B200438019</t>
  </si>
  <si>
    <t>B200438020</t>
  </si>
  <si>
    <t>B200438021</t>
  </si>
  <si>
    <t>B200438030</t>
  </si>
  <si>
    <t>B200438045</t>
  </si>
  <si>
    <t>B200438046</t>
  </si>
  <si>
    <t>B200438047</t>
  </si>
  <si>
    <t>B200438048</t>
  </si>
  <si>
    <t>B200438052</t>
  </si>
  <si>
    <t>B200438057</t>
  </si>
  <si>
    <t>B200438058</t>
  </si>
  <si>
    <t>B200438061</t>
  </si>
  <si>
    <t>B200438063</t>
  </si>
  <si>
    <t>B200438064</t>
  </si>
  <si>
    <t>B200438066</t>
  </si>
  <si>
    <t>B200438069</t>
  </si>
  <si>
    <t>B200438073</t>
  </si>
  <si>
    <t>B200438084</t>
  </si>
  <si>
    <t>B200438085</t>
  </si>
  <si>
    <t>B200438086</t>
  </si>
  <si>
    <t>B200438089</t>
  </si>
  <si>
    <t>B200438093</t>
  </si>
  <si>
    <t>B200438098</t>
  </si>
  <si>
    <t>B200438108</t>
  </si>
  <si>
    <t>B200438112</t>
  </si>
  <si>
    <t>B200438118</t>
  </si>
  <si>
    <t>B200438122</t>
  </si>
  <si>
    <t>B200438127</t>
  </si>
  <si>
    <t>B200438128</t>
  </si>
  <si>
    <t>B200438131</t>
  </si>
  <si>
    <t>B200438134</t>
  </si>
  <si>
    <t>B200438135</t>
  </si>
  <si>
    <t>B200438137</t>
  </si>
  <si>
    <t>B200438138</t>
  </si>
  <si>
    <t>B200438139</t>
  </si>
  <si>
    <t>B200438145</t>
  </si>
  <si>
    <t>B200438146</t>
  </si>
  <si>
    <t>B200438147</t>
  </si>
  <si>
    <t>B200438149</t>
  </si>
  <si>
    <t>B200438155</t>
  </si>
  <si>
    <t>B200438158</t>
  </si>
  <si>
    <t>B200438159</t>
  </si>
  <si>
    <t>B200438163</t>
  </si>
  <si>
    <t>B200438164</t>
  </si>
  <si>
    <t>B200438166</t>
  </si>
  <si>
    <t>B200438168</t>
  </si>
  <si>
    <t>B200438175</t>
  </si>
  <si>
    <t>B200438176</t>
  </si>
  <si>
    <t>B200438179</t>
  </si>
  <si>
    <t>B200438184</t>
  </si>
  <si>
    <t>B200438185</t>
  </si>
  <si>
    <t>B200438186</t>
  </si>
  <si>
    <t>B200438187</t>
  </si>
  <si>
    <t>B200438199</t>
  </si>
  <si>
    <t>B200438204</t>
  </si>
  <si>
    <t>B200438205</t>
  </si>
  <si>
    <t>B200438206</t>
  </si>
  <si>
    <t>B200438213</t>
  </si>
  <si>
    <t>B200438216</t>
  </si>
  <si>
    <t>B200438222</t>
  </si>
  <si>
    <t>B200438228</t>
  </si>
  <si>
    <t>B200438230</t>
  </si>
  <si>
    <t>B200438233</t>
  </si>
  <si>
    <t>B200438235</t>
  </si>
  <si>
    <t>B200438236</t>
  </si>
  <si>
    <t>B200438240</t>
  </si>
  <si>
    <t>B200438242</t>
  </si>
  <si>
    <t>B200438249</t>
  </si>
  <si>
    <t>B200438250</t>
  </si>
  <si>
    <t>B200438251</t>
  </si>
  <si>
    <t>B200438253</t>
  </si>
  <si>
    <t>B200438254</t>
  </si>
  <si>
    <t>B200438261</t>
  </si>
  <si>
    <t>B200438272</t>
  </si>
  <si>
    <t>B200438280</t>
  </si>
  <si>
    <t>B200438287</t>
  </si>
  <si>
    <t>B200438289</t>
  </si>
  <si>
    <t>B200438293</t>
  </si>
  <si>
    <t>B200438298</t>
  </si>
  <si>
    <t>B200438299</t>
  </si>
  <si>
    <t>B200438301</t>
  </si>
  <si>
    <t>B200438314</t>
  </si>
  <si>
    <t>B200438315</t>
  </si>
  <si>
    <t>B200438317</t>
  </si>
  <si>
    <t>B200438318</t>
  </si>
  <si>
    <t>B200438321</t>
  </si>
  <si>
    <t>B200438322</t>
  </si>
  <si>
    <t>B200438323</t>
  </si>
  <si>
    <t>B200438325</t>
  </si>
  <si>
    <t>B200438327</t>
  </si>
  <si>
    <t>B200438328</t>
  </si>
  <si>
    <t>B200438338</t>
  </si>
  <si>
    <t>B200438343</t>
  </si>
  <si>
    <t>B200438348</t>
  </si>
  <si>
    <t>B200438349</t>
  </si>
  <si>
    <t>B200438352</t>
  </si>
  <si>
    <t>B200438354</t>
  </si>
  <si>
    <t>B200438357</t>
  </si>
  <si>
    <t>B200438361</t>
  </si>
  <si>
    <t>B200438367</t>
  </si>
  <si>
    <t>B200438372</t>
  </si>
  <si>
    <t>B200438373</t>
  </si>
  <si>
    <t>B200438375</t>
  </si>
  <si>
    <t>B200438376</t>
  </si>
  <si>
    <t>B200438384</t>
  </si>
  <si>
    <t>B200438385</t>
  </si>
  <si>
    <t>B200438386</t>
  </si>
  <si>
    <t>B200438387</t>
  </si>
  <si>
    <t>B200438390</t>
  </si>
  <si>
    <t>B200438392</t>
  </si>
  <si>
    <t>B200438396</t>
  </si>
  <si>
    <t>B200438398</t>
  </si>
  <si>
    <t>B200438399</t>
  </si>
  <si>
    <t>B200438405</t>
  </si>
  <si>
    <t>B200438406</t>
  </si>
  <si>
    <t>B200438407</t>
  </si>
  <si>
    <t>B200438409</t>
  </si>
  <si>
    <t>B200438411</t>
  </si>
  <si>
    <t>B200438412</t>
  </si>
  <si>
    <t>8/28/2025</t>
  </si>
  <si>
    <t>8/12/2025</t>
  </si>
  <si>
    <t>8/20/2025</t>
  </si>
  <si>
    <t>8/13/2025</t>
  </si>
  <si>
    <t>8/19/2025</t>
  </si>
  <si>
    <t>8/14/2025</t>
  </si>
  <si>
    <t>8/21/2025</t>
  </si>
  <si>
    <t>8/18/2025</t>
  </si>
  <si>
    <t>8/27/2025</t>
  </si>
  <si>
    <t>8/15/2025</t>
  </si>
  <si>
    <t>8/25/2025</t>
  </si>
  <si>
    <t>8/16/2025</t>
  </si>
  <si>
    <t>8/26/2025</t>
  </si>
  <si>
    <t>8/22/2025</t>
  </si>
  <si>
    <t>8/29/2025</t>
  </si>
  <si>
    <t>8/17/2025</t>
  </si>
  <si>
    <t>8/23/2025</t>
  </si>
  <si>
    <t>859 W ERIE ST</t>
  </si>
  <si>
    <t>1750 N SPRINGFIELD AVE</t>
  </si>
  <si>
    <t>6235 N GLENWOOD AVE</t>
  </si>
  <si>
    <t>3432 N LOWELL AVE</t>
  </si>
  <si>
    <t>120 S RIVERSIDE PLZ</t>
  </si>
  <si>
    <t>4529 S FRANCISCO AVE</t>
  </si>
  <si>
    <t>7021 N GREENVIEW AVE</t>
  </si>
  <si>
    <t>191 N WACKER DR</t>
  </si>
  <si>
    <t>5140 N CALIFORNIA AVE</t>
  </si>
  <si>
    <t>2627 N SAYRE AVE</t>
  </si>
  <si>
    <t>1501 S INDIANA AVE</t>
  </si>
  <si>
    <t>4033 N LINCOLN AVE</t>
  </si>
  <si>
    <t>300 N LA SALLE DR</t>
  </si>
  <si>
    <t>9326 S BENNETT AVE</t>
  </si>
  <si>
    <t>5578 N LEONARD AVE</t>
  </si>
  <si>
    <t>5300 N MOBILE AVE</t>
  </si>
  <si>
    <t>7406 N SHERIDAN RD</t>
  </si>
  <si>
    <t>3618 N PANAMA AVE</t>
  </si>
  <si>
    <t>2542 W 79TH PL</t>
  </si>
  <si>
    <t>3311 W 62ND PL</t>
  </si>
  <si>
    <t>1501 N MAYFIELD AVE</t>
  </si>
  <si>
    <t>5733 N CENTRAL PARK AVE</t>
  </si>
  <si>
    <t>2453 W DEVON AVE</t>
  </si>
  <si>
    <t>1962 N LINCOLN AVE</t>
  </si>
  <si>
    <t>5525 W HIGGINS AVE</t>
  </si>
  <si>
    <t>13237 S CARONDOLET AVE</t>
  </si>
  <si>
    <t>4235 S RICHMOND ST</t>
  </si>
  <si>
    <t>10000 W OHARE ST</t>
  </si>
  <si>
    <t>1527 W GRANVILLE AVE</t>
  </si>
  <si>
    <t>4842 N LEAVITT ST</t>
  </si>
  <si>
    <t>5955 W PATTERSON AVE</t>
  </si>
  <si>
    <t>12837 S GREEN ST</t>
  </si>
  <si>
    <t>2603 W NORTH AVE</t>
  </si>
  <si>
    <t>2458 W GRACE ST</t>
  </si>
  <si>
    <t>2116 W MOFFAT ST</t>
  </si>
  <si>
    <t>4801 S KENWOOD AVE</t>
  </si>
  <si>
    <t>1600 S KEDZIE AVE</t>
  </si>
  <si>
    <t>6438 S ST LAWRENCE AVE</t>
  </si>
  <si>
    <t>3230 W 65TH ST</t>
  </si>
  <si>
    <t>628 E 103RD PL</t>
  </si>
  <si>
    <t>6545 N SAYRE AVE</t>
  </si>
  <si>
    <t>3411 N KOLMAR AVE</t>
  </si>
  <si>
    <t>7528 S WINCHESTER AVE</t>
  </si>
  <si>
    <t>6112 S NAGLE AVE</t>
  </si>
  <si>
    <t>1722 N MONITOR AVE</t>
  </si>
  <si>
    <t>301 E CERMAK RD</t>
  </si>
  <si>
    <t>942 N LOCKWOOD AVE</t>
  </si>
  <si>
    <t>6152 S MAPLEWOOD AVE</t>
  </si>
  <si>
    <t>1110 E 130TH PL</t>
  </si>
  <si>
    <t>3254 N NORMANDY AVE</t>
  </si>
  <si>
    <t>4431 S SACRAMENTO AVE</t>
  </si>
  <si>
    <t>222 W ADAMS ST</t>
  </si>
  <si>
    <t>2150 S CANALPORT AVE</t>
  </si>
  <si>
    <t>7544 S ESSEX AVE</t>
  </si>
  <si>
    <t>6251 W GRAND AVE</t>
  </si>
  <si>
    <t>5650 W DIVERSEY AVE</t>
  </si>
  <si>
    <t>5710 W 58TH ST</t>
  </si>
  <si>
    <t>30 N MORGAN ST</t>
  </si>
  <si>
    <t>1730 W FULLERTON AVE</t>
  </si>
  <si>
    <t>3846 N BERNARD ST</t>
  </si>
  <si>
    <t>312 N CENTRAL AVE</t>
  </si>
  <si>
    <t>7446 S DR MARTIN LUTHER KING JR DR</t>
  </si>
  <si>
    <t>210 S DESPLAINES ST</t>
  </si>
  <si>
    <t>5123 N CHESTER AVE</t>
  </si>
  <si>
    <t>7916 S INDIANA AVE</t>
  </si>
  <si>
    <t>9240 S GREENWOOD AVE</t>
  </si>
  <si>
    <t>10836 S GREEN BAY AVE</t>
  </si>
  <si>
    <t>8145 S DORCHESTER AVE</t>
  </si>
  <si>
    <t>2843 N WOLCOTT AVE</t>
  </si>
  <si>
    <t>2643 N MARSHFIELD AVE</t>
  </si>
  <si>
    <t>11300 S LOOMIS ST</t>
  </si>
  <si>
    <t>2044 W THOMAS ST</t>
  </si>
  <si>
    <t>4822 S COTTAGE GROVE AVE</t>
  </si>
  <si>
    <t>2301 W FARRAGUT AVE</t>
  </si>
  <si>
    <t>2949 W ADAMS ST</t>
  </si>
  <si>
    <t>65 E GOETHE ST</t>
  </si>
  <si>
    <t>4316 N KILDARE AVE</t>
  </si>
  <si>
    <t>3035 W FULLERTON AVE</t>
  </si>
  <si>
    <t>1050 W VAN BUREN ST</t>
  </si>
  <si>
    <t>2746 W FULLERTON AVE</t>
  </si>
  <si>
    <t>3100 W DOUGLAS BLVD</t>
  </si>
  <si>
    <t>5640 S MOZART ST</t>
  </si>
  <si>
    <t>1701 W FULTON ST</t>
  </si>
  <si>
    <t>2126 W THOMAS ST</t>
  </si>
  <si>
    <t>10614 S EBERHART AVE</t>
  </si>
  <si>
    <t>10500 S WOODLAWN AVE</t>
  </si>
  <si>
    <t>4020 W CORNELIA AVE</t>
  </si>
  <si>
    <t>2762 W WILSON AVE</t>
  </si>
  <si>
    <t>4342 S MOZART ST</t>
  </si>
  <si>
    <t>3940 W GRAND AVE</t>
  </si>
  <si>
    <t>5254 S KNOX AVE</t>
  </si>
  <si>
    <t>5501 N LINCOLN AVE</t>
  </si>
  <si>
    <t>167 N SANGAMON ST</t>
  </si>
  <si>
    <t>5723 W ERIE ST</t>
  </si>
  <si>
    <t>7006 S BELL AVE</t>
  </si>
  <si>
    <t>4239 N OAKLEY AVE</t>
  </si>
  <si>
    <t>1458 W CORTEZ ST</t>
  </si>
  <si>
    <t>5344 W PATTERSON AVE</t>
  </si>
  <si>
    <t>400 E RANDOLPH ST</t>
  </si>
  <si>
    <t>5429 S DREXEL AVE</t>
  </si>
  <si>
    <t>1015 N HALSTED ST</t>
  </si>
  <si>
    <t>5931 S NAGLE AVE</t>
  </si>
  <si>
    <t>4145 N HARDING AVE</t>
  </si>
  <si>
    <t>9221 S CHAPPEL AVE</t>
  </si>
  <si>
    <t>10432 S SANGAMON ST</t>
  </si>
  <si>
    <t>6730 N OLMSTED AVE</t>
  </si>
  <si>
    <t>8624 S KIMBARK AVE</t>
  </si>
  <si>
    <t>4623 W DEMING PL</t>
  </si>
  <si>
    <t>3500 N SOUTHPORT AVE</t>
  </si>
  <si>
    <t>315 N HALSTED ST</t>
  </si>
  <si>
    <t>5813 N OCONTO AVE</t>
  </si>
  <si>
    <t>2525 W 71ST ST</t>
  </si>
  <si>
    <t>2009 N CALIFORNIA AVE</t>
  </si>
  <si>
    <t>6809 S MAPLEWOOD AVE</t>
  </si>
  <si>
    <t>207 N AUSTIN BLVD</t>
  </si>
  <si>
    <t>3845 S VINCENNES AVE</t>
  </si>
  <si>
    <t>3114 W 41ST ST</t>
  </si>
  <si>
    <t>8429 S JEFFERY BLVD</t>
  </si>
  <si>
    <t>651 E 37TH ST</t>
  </si>
  <si>
    <t>10424 S WESTERN AVE</t>
  </si>
  <si>
    <t>1255 W NORTH AVE</t>
  </si>
  <si>
    <t>8412 S INGLESIDE AVE</t>
  </si>
  <si>
    <t>5216 S NAGLE AVE</t>
  </si>
  <si>
    <t>2102 W SUNNYSIDE AVE</t>
  </si>
  <si>
    <t>7429 N GREENVIEW AVE</t>
  </si>
  <si>
    <t>5274 N LARNED AVE</t>
  </si>
  <si>
    <t>9301 S COTTAGE GROVE AVE</t>
  </si>
  <si>
    <t>4250 N LINCOLN AVE</t>
  </si>
  <si>
    <t>3506 W 73RD PL</t>
  </si>
  <si>
    <t>1746 N MASON AVE</t>
  </si>
  <si>
    <t>8126 S KNOX AVE</t>
  </si>
  <si>
    <t>900 W NELSON ST</t>
  </si>
  <si>
    <t>3262 W ARMITAGE AVE</t>
  </si>
  <si>
    <t>5000 S INDIANA AVE</t>
  </si>
  <si>
    <t>3170 N SHERIDAN RD</t>
  </si>
  <si>
    <t>3628 W 68TH ST</t>
  </si>
  <si>
    <t>3416 S CARPENTER ST</t>
  </si>
  <si>
    <t>3530 N OLEANDER AVE</t>
  </si>
  <si>
    <t>1800 W CERMAK RD</t>
  </si>
  <si>
    <t>218 E 51ST ST</t>
  </si>
  <si>
    <t>5324 S AVERS AVE</t>
  </si>
  <si>
    <t>458 W 32ND ST</t>
  </si>
  <si>
    <t>768 W JACKSON BLVD</t>
  </si>
  <si>
    <t>3600 N LAKE SHORE DR</t>
  </si>
  <si>
    <t>9438 S PARNELL AVE</t>
  </si>
  <si>
    <t>6049 S RUTHERFORD AVE</t>
  </si>
  <si>
    <t>850 W 63RD ST</t>
  </si>
  <si>
    <t>654 W 47TH ST</t>
  </si>
  <si>
    <t>5217 S KOLMAR AVE</t>
  </si>
  <si>
    <t>11319 S AVENUE M</t>
  </si>
  <si>
    <t>9244 S JUSTINE ST</t>
  </si>
  <si>
    <t>4232 S CALIFORNIA AVE</t>
  </si>
  <si>
    <t>4549 N RESERVE AVE</t>
  </si>
  <si>
    <t>2706 N DAYTON ST</t>
  </si>
  <si>
    <t>1455 N SANDBURG TER</t>
  </si>
  <si>
    <t>1112 N MONITOR AVE</t>
  </si>
  <si>
    <t>6789 W TALCOTT AVE</t>
  </si>
  <si>
    <t>1637 N NEWLAND AVE</t>
  </si>
  <si>
    <t>5450 N MOBILE AVE</t>
  </si>
  <si>
    <t>6435 S KNOX AVE</t>
  </si>
  <si>
    <t>11531 S LAFLIN ST</t>
  </si>
  <si>
    <t>2019 W CORTEZ ST</t>
  </si>
  <si>
    <t>4813 S PAULINA ST</t>
  </si>
  <si>
    <t>1336 N HAMLIN AVE</t>
  </si>
  <si>
    <t>6355 S DR MARTIN LUTHER KING JR DR</t>
  </si>
  <si>
    <t>2219 E 96TH ST</t>
  </si>
  <si>
    <t>3434 W SCHUBERT AVE</t>
  </si>
  <si>
    <t>3601 W GRENSHAW ST</t>
  </si>
  <si>
    <t>303 W MADISON ST</t>
  </si>
  <si>
    <t>444 W OAKDALE AVE</t>
  </si>
  <si>
    <t>6211 S VERNON AVE</t>
  </si>
  <si>
    <t>10701 S TROY ST</t>
  </si>
  <si>
    <t>1616 W MONTROSE AVE</t>
  </si>
  <si>
    <t>1425 W SUMMERDALE AVE</t>
  </si>
  <si>
    <t>7959 S ARTESIAN AVE</t>
  </si>
  <si>
    <t>9601 S DAMEN AVE</t>
  </si>
  <si>
    <t>8354 S ANTHONY AVE</t>
  </si>
  <si>
    <t>3150 N SHERIDAN RD</t>
  </si>
  <si>
    <t>6526 N NASHVILLE AVE</t>
  </si>
  <si>
    <t>105 W 117TH ST</t>
  </si>
  <si>
    <t>1927 N LAWNDALE AVE</t>
  </si>
  <si>
    <t>3308 N NORMANDY AVE</t>
  </si>
  <si>
    <t>6945 W ARCHER AVE</t>
  </si>
  <si>
    <t>10549 S ALBANY AVE</t>
  </si>
  <si>
    <t>739 W BROMPTON AVE</t>
  </si>
  <si>
    <t>1453 E 53RD ST</t>
  </si>
  <si>
    <t>2119 W ARMITAGE AVE</t>
  </si>
  <si>
    <t>2711 S TRUMBULL AVE</t>
  </si>
  <si>
    <t>CHICAGO, IL</t>
  </si>
  <si>
    <t>POWELL BERNARD</t>
  </si>
  <si>
    <t>RICO ARMANDO</t>
  </si>
  <si>
    <t>FEINGOLD KATHY</t>
  </si>
  <si>
    <t>BETLAND LINDSAY</t>
  </si>
  <si>
    <t>HALLSTAR</t>
  </si>
  <si>
    <t>MURILLO RAFAEL</t>
  </si>
  <si>
    <t>G-SPANG PROPERTY MANAGEMENT</t>
  </si>
  <si>
    <t>GOLDMAN ISMAIL TOMASELLI  BRENNAN &amp; BAUM,LLP</t>
  </si>
  <si>
    <t>CONTINENTAL ELECTRIC CONSTRUCTION CO</t>
  </si>
  <si>
    <t>BANDURA LILIYA</t>
  </si>
  <si>
    <t>THE BUILDING GROUP</t>
  </si>
  <si>
    <t>RCI LLC</t>
  </si>
  <si>
    <t>IRVINE COMPANY OFFICE PROPERTIES</t>
  </si>
  <si>
    <t>SANDERS CHERISE</t>
  </si>
  <si>
    <t>RIALLA MICHELE</t>
  </si>
  <si>
    <t>MEISSNER LAURA</t>
  </si>
  <si>
    <t>SILVERMAN MARK</t>
  </si>
  <si>
    <t>MELENDEZ IRIS</t>
  </si>
  <si>
    <t>ALEXANDER WILLA</t>
  </si>
  <si>
    <t>GUTIERREZ ONOFRE</t>
  </si>
  <si>
    <t>AGUILA MARIA</t>
  </si>
  <si>
    <t>BADAL JOHN</t>
  </si>
  <si>
    <t>AJWAAH SWEETS, INC.</t>
  </si>
  <si>
    <t>KARBAL WAYNE</t>
  </si>
  <si>
    <t>ODONELL PAT</t>
  </si>
  <si>
    <t>WERLING RICHARD</t>
  </si>
  <si>
    <t>HERRERA HERIBERTO</t>
  </si>
  <si>
    <t>AMERICAN AIRLINES</t>
  </si>
  <si>
    <t>1525-27 W. GRANVILLE CONDO ASSOCIATION</t>
  </si>
  <si>
    <t>NORIEGA MARY</t>
  </si>
  <si>
    <t>NIELSON JUSTIN</t>
  </si>
  <si>
    <t>BIG DOG PROPERTY MANAGEMENT</t>
  </si>
  <si>
    <t>PRINT STUDIO</t>
  </si>
  <si>
    <t>GRACE CAMPBELL POINT ASSOCIATION</t>
  </si>
  <si>
    <t>BUSIGNANI LANA</t>
  </si>
  <si>
    <t>VIP TECH ELECTRIC, INC.</t>
  </si>
  <si>
    <t>DENNIS JEFF</t>
  </si>
  <si>
    <t>GIL JONATHAN</t>
  </si>
  <si>
    <t>PEREZ MANUEL</t>
  </si>
  <si>
    <t>ROBINSON DAJUAN</t>
  </si>
  <si>
    <t>PRONEK CHRISTOPHER</t>
  </si>
  <si>
    <t>STEEGE JENNA</t>
  </si>
  <si>
    <t>BROWN MANDELL</t>
  </si>
  <si>
    <t>ANCKERMANN ANA</t>
  </si>
  <si>
    <t>WATTS HOUSTON</t>
  </si>
  <si>
    <t>M.P.E.A. (MC CORMICK PLACE)</t>
  </si>
  <si>
    <t>JACOBS EVIE</t>
  </si>
  <si>
    <t>OLAEZ ALEJANDRA</t>
  </si>
  <si>
    <t>TCA HEALTH NUTRITION &amp; WELLNESS CENTER</t>
  </si>
  <si>
    <t>BROZNA CZESLAWA</t>
  </si>
  <si>
    <t>VILLASENOR-VILLEGAS MA ESPERANZA</t>
  </si>
  <si>
    <t>227 W MONROE LLC</t>
  </si>
  <si>
    <t>LACUNA, LLC</t>
  </si>
  <si>
    <t>BETTIKER CURT</t>
  </si>
  <si>
    <t>BAUTISTA RAMIRO</t>
  </si>
  <si>
    <t>ARGUELLO DIONICIO</t>
  </si>
  <si>
    <t>SANTIAGO TIFFANY</t>
  </si>
  <si>
    <t>KAPITAL ELECTRIC CO., INC</t>
  </si>
  <si>
    <t>RSM NORTH AMERICA, LLC</t>
  </si>
  <si>
    <t>JASKEWYCZ ANNA</t>
  </si>
  <si>
    <t>PLOSZAY BRIAN</t>
  </si>
  <si>
    <t>DYNAMIC INVESTMENTS</t>
  </si>
  <si>
    <t>THE EDGE LOFTS AND TOWER CONDO ASSOC</t>
  </si>
  <si>
    <t>SCHMIDT WARREN</t>
  </si>
  <si>
    <t>TAYLOR-DAVIS AISHA</t>
  </si>
  <si>
    <t>SABRE INVESTMENTS LLC</t>
  </si>
  <si>
    <t>AGUILERA JOSE</t>
  </si>
  <si>
    <t>BOWENS GYASI</t>
  </si>
  <si>
    <t>NACHBAR DAVID</t>
  </si>
  <si>
    <t>WALLENBERG BRUCE</t>
  </si>
  <si>
    <t>CHAPPELL PHYLLIS</t>
  </si>
  <si>
    <t>BAJAJ ANEESHA</t>
  </si>
  <si>
    <t>NORTHWESTERN MEMORIAL HEALTHCA</t>
  </si>
  <si>
    <t>ROMERO MAURA</t>
  </si>
  <si>
    <t>LLC WBWB</t>
  </si>
  <si>
    <t>ZOLL STEVEN</t>
  </si>
  <si>
    <t>SCHMIEGE COLLEEN</t>
  </si>
  <si>
    <t>ROSENSTEIN JOSHUA</t>
  </si>
  <si>
    <t>ANCIENT GROUNDS COFFEE</t>
  </si>
  <si>
    <t>YOUNG ERIC</t>
  </si>
  <si>
    <t>BUSHALA NOEL R</t>
  </si>
  <si>
    <t>AGUILAR JESUS</t>
  </si>
  <si>
    <t>SPELLMAN MARC</t>
  </si>
  <si>
    <t>2126 THOMAS LLC</t>
  </si>
  <si>
    <t>LEWIS MARLON</t>
  </si>
  <si>
    <t>AMAZON DLN4</t>
  </si>
  <si>
    <t>LAGAACA BISHAP</t>
  </si>
  <si>
    <t>NELSON RETT</t>
  </si>
  <si>
    <t>HUANG MING HUI</t>
  </si>
  <si>
    <t>ILKHCHI FARIBORZ</t>
  </si>
  <si>
    <t>MICHALSKI MICHAEL</t>
  </si>
  <si>
    <t>RAZOWSKY JORDAN</t>
  </si>
  <si>
    <t>REDMOND THOMAS</t>
  </si>
  <si>
    <t>ANAYA LETICIA</t>
  </si>
  <si>
    <t>HARRIS JOSEPH</t>
  </si>
  <si>
    <t>HOWANIEC JON</t>
  </si>
  <si>
    <t>THOMAS TOM</t>
  </si>
  <si>
    <t>FAMANAS EARL</t>
  </si>
  <si>
    <t>MCCAIN MARK</t>
  </si>
  <si>
    <t>SONEK ELECTRIC,INC.</t>
  </si>
  <si>
    <t>NEW TRADITION OUTDOOR LLC</t>
  </si>
  <si>
    <t>TAYLOR DENNIS</t>
  </si>
  <si>
    <t>LARRUE TARA</t>
  </si>
  <si>
    <t>DENNIS GORDON</t>
  </si>
  <si>
    <t>BROWN ARTHUR</t>
  </si>
  <si>
    <t>EDISON PARK CHAMBER OF COMMERCE</t>
  </si>
  <si>
    <t>HARRELL LASHAN L</t>
  </si>
  <si>
    <t>AVILA ELIZABETH</t>
  </si>
  <si>
    <t>CHICAGO SPECIAL EVENTS MANAGEMENT</t>
  </si>
  <si>
    <t>BIANCHINI MARC</t>
  </si>
  <si>
    <t>KARIM OMAR</t>
  </si>
  <si>
    <t>RILEY MARY LEE</t>
  </si>
  <si>
    <t>HYUHN TAM</t>
  </si>
  <si>
    <t>EDWARDS DEBORAH</t>
  </si>
  <si>
    <t>DANIELS MARX</t>
  </si>
  <si>
    <t>WESTERN AVENUE HOLLOW, LLC</t>
  </si>
  <si>
    <t>COMCAST OF CHICAGO INC*</t>
  </si>
  <si>
    <t>ARNOLD JOHN</t>
  </si>
  <si>
    <t>SALINAS NORA</t>
  </si>
  <si>
    <t>THOMAS SEBASTIAN JASON</t>
  </si>
  <si>
    <t>VITA AGIATA CONDOMINIUM ASSOCIATION</t>
  </si>
  <si>
    <t>MCGEE RYAN</t>
  </si>
  <si>
    <t>RODRIGUEZ LUIS</t>
  </si>
  <si>
    <t>SAFEWAY REALTY LLC / ISAC SALVADOR</t>
  </si>
  <si>
    <t>FRANCO ONESIMO</t>
  </si>
  <si>
    <t>CHAVEZ JOSE</t>
  </si>
  <si>
    <t>JUAREZ ESTEBAN</t>
  </si>
  <si>
    <t>ADVOCATE HEALTH CARE</t>
  </si>
  <si>
    <t>SMITH ERIC</t>
  </si>
  <si>
    <t>EASTLAKE MANAGEMENT</t>
  </si>
  <si>
    <t>LEANING TREE CHUTE LLC C/O NEWCASTLE INVESTORS</t>
  </si>
  <si>
    <t>CASTRO NOEL</t>
  </si>
  <si>
    <t>BOGUSZEWSKI TADEUSZ</t>
  </si>
  <si>
    <t>ALVAREZ ANTHONY</t>
  </si>
  <si>
    <t>MUNOZ STEWART</t>
  </si>
  <si>
    <t>LOWIS DANIEL</t>
  </si>
  <si>
    <t>CORREA SEBASTIAN</t>
  </si>
  <si>
    <t>GOMEZ MARIA</t>
  </si>
  <si>
    <t>768 WEST JACKSON LLC</t>
  </si>
  <si>
    <t>SAMUELS MARILYN</t>
  </si>
  <si>
    <t>PENNAMON PAMELA</t>
  </si>
  <si>
    <t>PALMSONE KATHLEEN</t>
  </si>
  <si>
    <t>ENGLEWOOD FAMILY DENTAL</t>
  </si>
  <si>
    <t>CASEY KEVIN</t>
  </si>
  <si>
    <t>MASUD RATIB</t>
  </si>
  <si>
    <t>JABCZYNSKI LEONARD</t>
  </si>
  <si>
    <t>HONEYCUTT THERESA</t>
  </si>
  <si>
    <t>GOMEZ CESAR</t>
  </si>
  <si>
    <t>MROZ ERIC</t>
  </si>
  <si>
    <t>POLECK THOMAS</t>
  </si>
  <si>
    <t>BALL BARBARA</t>
  </si>
  <si>
    <t>CAMPOS IRMA</t>
  </si>
  <si>
    <t>FOREST DAVID</t>
  </si>
  <si>
    <t>BRENNAN SCOTT</t>
  </si>
  <si>
    <t>CASTRO ACEVES MARIA TERESA</t>
  </si>
  <si>
    <t>VILLASENOR CARLOS</t>
  </si>
  <si>
    <t>HAYWARD SAMUEL</t>
  </si>
  <si>
    <t>PONCE DANIEL</t>
  </si>
  <si>
    <t>MALETIN DANIEL</t>
  </si>
  <si>
    <t>BLAKE RESIDENTIAL &amp; COMMERCIAL DEVELOPMENT*</t>
  </si>
  <si>
    <t>ODEN JIM</t>
  </si>
  <si>
    <t>CULVER BRITTANY</t>
  </si>
  <si>
    <t>MUHAMMAD NATHANIEL</t>
  </si>
  <si>
    <t>CHICAGO, LLC 303 MADISON</t>
  </si>
  <si>
    <t>444-446 W. OAKDALE CONDO ASSOC</t>
  </si>
  <si>
    <t>STARKS-SPICER EVELYN</t>
  </si>
  <si>
    <t>BENJAMIN VALERIE</t>
  </si>
  <si>
    <t>WALD MANAGEMENT CO. INC</t>
  </si>
  <si>
    <t>WILLIAMS STEVEN</t>
  </si>
  <si>
    <t>GUZMAN RAFAEL</t>
  </si>
  <si>
    <t>WILK JOHN</t>
  </si>
  <si>
    <t>GIBSON DON</t>
  </si>
  <si>
    <t>SHERIDAN RD CA 3150 N</t>
  </si>
  <si>
    <t>VERMA ANUPAM</t>
  </si>
  <si>
    <t>WILKERSON KEITH</t>
  </si>
  <si>
    <t>RHYU CAROL</t>
  </si>
  <si>
    <t>HASHISH MOHAMMED</t>
  </si>
  <si>
    <t>CABRALES JUAN</t>
  </si>
  <si>
    <t>RIVERA ISMAEL</t>
  </si>
  <si>
    <t>BROADMORE CONDO ASSOC</t>
  </si>
  <si>
    <t>ZHENG DAVID</t>
  </si>
  <si>
    <t>2119 W ARMITAGE CONDO ASSOC</t>
  </si>
  <si>
    <t>BARRERA CELIA</t>
  </si>
  <si>
    <t>LINE VOLTAGE ELECTRICAL WORK. REPAIR OR ALTER DEVICES ON EXISTING CIRCUITS. RECEPTACLE OUTLETS: 3 . LIGHTING OUTLETS: 0. ELECTRIC VEHICLE SUPPLY EQUIPMENT:3 SPACES. SPECIFIC LOCATION: BASEMENT.</t>
  </si>
  <si>
    <t>TUCKPOINTING AND UNIT MASONRY REPAIR / REPLACEMENT: 500 SQ. FT., LINTEL QTY. 0, MAX. LENGTH 0. LOCATION: FRONT FACADE AT EAST AND NORTH SIDE ELEVATION.</t>
  </si>
  <si>
    <t>LINE VOLTAGE ELECTRICAL WORK. NEW PERMANENT 200 AMP SERVICE DISCONNECTING MEANS WITH 19 CIRCUITS. RECEPTACLE OUTLETS: 1 . LIGHTING OUTLETS: 0. SPECIFIC LOCATION: BASEMENT AND OUTSIDE, ELECTRICAL SERVICE UPGRADE.</t>
  </si>
  <si>
    <t>PURPOSE: NEW/REPLACEMENT INSTALLATION. WOOD FENCE - 6'-0' ' (HEIGHT) X 74'-0' ' (LENGTH). LOCATION: BACK YARD.</t>
  </si>
  <si>
    <t>LOW VOLTAGE/COMMUNICATION ELECTRICAL WORK. ALTER EXISTING OTHER. SPECIFIC LOCATION: 14TH FLOOR - ENTIRE FLOOR.</t>
  </si>
  <si>
    <t>IN-KIND REPLACEMENT OF EXTERIOR WINDOWS AND DOORS IN EXISTING OPENINGS. REPLACEMENT WINDOWS: 24; REPLACEMENT SKYLIGHTS: 0; REPLACEMENT DOORS: 3. AFFECTS: 1 RESIDENTIAL UNIT(S), 0 NON-RESIDENTIAL UNIT(S), LOCATION: WINDOWS /DOORS.</t>
  </si>
  <si>
    <t>TUCKPOINTING AND UNIT MASONRY REPAIR / REPLACEMENT: 20 SQ. FT., LINTEL QTY. 4, MAX. LENGTH 4. PARAPET REBUILDING: 140 SQ. FT. LOCATION: 2ND AND 3RD FLOOR OF THE FACADE.</t>
  </si>
  <si>
    <t>LOW VOLTAGE/COMMUNICATION ELECTRICAL WORK. ALTER EXISTING DATA/VIDEO. SPECIFIC LOCATION: SUITE 3000.</t>
  </si>
  <si>
    <t>LOW VOLTAGE/COMMUNICATION ELECTRICAL WORK. INSTALL SECURITY. SPECIFIC LOCATION: 1ST FLOOR CARDIOLOGY.</t>
  </si>
  <si>
    <t>INSTALL SOLAR PANELS ON ROOF OF PRINCIPAL BUILDING. ROOF TYPE: STEEP (&gt;5:12). INVERTER OUTPUT: 3.48 KW. ARRAY OUTPUT: 5.1 KW.  LOCATION: ROOF AND EXTERIOR. ICC DISTRIBUTED GENERATION INSTALLER CERT. #25-0072. | SPECIAL CONDITION: * NEC REFERENCES TO BE OMITTED FROM DRAWINGS, ALL GENERAL ELECTRICAL NOTES SHALL REFERENCE CEC 2018. * PLEASE APPLY FOR ELECTRICAL PERMIT PRIOR TO SOLAR INSPECTION AND HAVE PRESENT ON DATE OF INSPECTION OR RISK FAILURE AS PROPOSED WORK PER ELECTRICAL DRAWING.* PLEASE PROVIDE NOTARIZED LETTER FROM OWNER &amp; BUILDING MANAGEMENT WITH APPROVAL OF SOLAR INSTALLATION OF PROPOSED WORK ON BUILDING STRUCTURE.* ALL EQUIPMENT, CONNECTORS, RACEWAYS, TAPS,  MUST BE LISTED AND LABELED FOR USE.</t>
  </si>
  <si>
    <t>SCOPE: ROOF RECOVER. AREA: 8600 SQ. FT. ROOF COVERING: OTHER. LOCATION: ROOF TOP. IL ROOFING CONTRACTOR LICENSE: 104000268.</t>
  </si>
  <si>
    <t>LOW VOLTAGE/COMMUNICATION ELECTRICAL WORK. INSTALL DATA/VIDEO. SPECIFIC LOCATION: MEDICAL SUITE 4033B.</t>
  </si>
  <si>
    <t>LOW VOLTAGE/COMMUNICATION ELECTRICAL WORK. INSTALL TELEPHONE. SPECIFIC LOCATION: 6TH AND 7TH FLOORS.</t>
  </si>
  <si>
    <t>LINE VOLTAGE ELECTRICAL WORK. NEW PERMANENT 100 AMP SERVICE DISCONNECTING MEANS WITH 8 CIRCUITS. RECEPTACLE OUTLETS: 1 . LIGHTING OUTLETS: 0. SPECIFIC LOCATION: BASEMENT, YARD.</t>
  </si>
  <si>
    <t>SCOPE: ROOF REPLACEMENT. AREA: 1538 SQ. FT. ROOF COVERING: ASPHALT SHINGLES. LOCATION: EXTERIOR: ROOF AND SIDING. IL ROOFING CONTRACTOR LICENSE: 104017255.</t>
  </si>
  <si>
    <t>PURPOSE: NEW/REPLACEMENT INSTALLATION. WOOD FENCE - 6'-0' ' (HEIGHT) X 80'-0' ' (LENGTH). LOCATION: OUTSIDE, FENCE, DECK.</t>
  </si>
  <si>
    <t>TUCKPOINTING AND UNIT MASONRY REPAIR / REPLACEMENT: 300 SQ. FT., LINTEL QTY. 4, MAX. LENGTH 3. LOCATION: FRONT, REAR AND SIDE FACADE AND CHIMNEY.</t>
  </si>
  <si>
    <t>SCOPE: ROOF REPLACEMENT. AREA: 1900 SQ. FT. ROOF COVERING: ASPHALT SHINGLES. LOCATION: ROOFING. IL ROOFING CONTRACTOR LICENSE: 104012900.</t>
  </si>
  <si>
    <t>ADA MODIFICATION - NEW FRONT DECK AND STAIRS FOR NEW VPL WITH ASSOCIATED CONCRETE WORK</t>
  </si>
  <si>
    <t>LINE VOLTAGE ELECTRICAL WORK. NEW PERMANENT 100 AMP SERVICE DISCONNECTING MEANS WITH 1 CIRCUITS. RECEPTACLE OUTLETS: 1 . LIGHTING OUTLETS: 0. SPECIFIC LOCATION: INSIDE BASEMENT, SOUTH WALL.</t>
  </si>
  <si>
    <t>SCOPE: ROOF REPLACEMENT. AREA: 1615 SQ. FT. ROOF COVERING: BUILT-UP ROOF. LOCATION: ROOF/ GARAGE ROOF. IL ROOFING CONTRACTOR LICENSE: 104018199.</t>
  </si>
  <si>
    <t>NEW DETACHED WOOD FRAME GARAGE. DIMENSIONS AND SETBACKS PER APPLICATION. BUILDING OUTSIDE DIMENSIONS: 24'-0' ' X22'-0' '. GABLE ROOF HEIGHT TO PEAK: 15'-0' '.</t>
  </si>
  <si>
    <t>TUCKPOINTING AND UNIT MASONRY REPAIR / REPLACEMENT: 180 SQ. FT., LINTEL QTY. 0, MAX. LENGTH 0. LOCATION: FRONT FACADE.</t>
  </si>
  <si>
    <t>TUCKPOINTING AND UNIT MASONRY REPAIR / REPLACEMENT: 1500 SQ. FT., LINTEL QTY. 0, MAX. LENGTH 0. LOCATION: EXTERIOR FRONT TUCKPOINTING &amp; REAR SPOT TUCKPOINT.</t>
  </si>
  <si>
    <t>NEW DETACHED WOOD FRAME GARAGE. DIMENSIONS AND SETBACKS PER APPLICATION. BUILDING OUTSIDE DIMENSIONS: 20'-0' ' X26'-0' '. GABLE ROOF HEIGHT TO PEAK: 13'-0' '.</t>
  </si>
  <si>
    <t>INSTALL SOLAR PANELS ON ROOF OF PRINCIPAL BUILDING. ROOF TYPE: STEEP (&gt;5:12). INVERTER OUTPUT: 10 KW. ARRAY OUTPUT: 11.89 KW.   INCLUDES 13.5 KWH ENERGY STORAGE SYSTEM.  LOCATION: ROOF PLANES OF HOME. ICC DISTRIBUTED GENERATION INSTALLER CERT. #18-0817. | SPECIAL CONDITION: * NEC REFERENCES TO BE OMITTED FROM DRAWINGS, ALL GENERAL ELECTRICAL NOTES SHALL REFERENCE CEC 2018. * REFER TO ELECTRICAL PERMIT B200437823.* ALL EQUIPMENT, CONNECTORS, RACEWAYS, TAPS, MUST BE LISTED AND LABELED FOR USE.</t>
  </si>
  <si>
    <t>ADA MODIFICATIONS: CONSTRUCT A WOODEN DECK, STAIRS AND HANDRAILS AT THE FRONT OF THE HOUSE.</t>
  </si>
  <si>
    <t>LINE VOLTAGE ELECTRICAL WORK. NEW TEMPORARY 400 AMP SERVICE DISCONNECTING MEANS WITH 42 CIRCUITS. RECEPTACLE OUTLETS: 6 . LIGHTING OUTLETS: 0. SPECIFIC LOCATION: CAB HILL ORD.</t>
  </si>
  <si>
    <t>LINE VOLTAGE ELECTRICAL WORK. NEW PERMANENT 125 AMP SERVICE DISCONNECTING MEANS WITH 1 CIRCUITS. RECEPTACLE OUTLETS: 1 . LIGHTING OUTLETS: 0. 13.5 KWH LITHIUM ION ENERGY STORAGE SYSTEM. SPECIFIC LOCATION: EXTERIOR WALL.</t>
  </si>
  <si>
    <t>TUCKPOINTING AND UNIT MASONRY REPAIR / REPLACEMENT: 1000 SQ. FT., LINTEL QTY. 0, MAX. LENGTH 0. PARAPET REBUILDING: 500 SQ. FT. LOCATION: ROOF; PARAPET.</t>
  </si>
  <si>
    <t>LINE VOLTAGE ELECTRICAL WORK. NEW PERMANENT 200 AMP SERVICE DISCONNECTING MEANS WITH 2 CIRCUITS. RECEPTACLE OUTLETS: 1 . LIGHTING OUTLETS: 1. SPECIFIC LOCATION: OUTSIDE METER, INSIDE MAIN SERVICE PANEL.</t>
  </si>
  <si>
    <t>REPAIR OR IN-KIND REPLACEMENT OF 1 PLUMBING FIXTURES AS DESCRIBED IN PERMIT APPLICATION.  INCLUDES REPAIR OR REPLACMENT OF PLUMBING PIPING.  INCLUDES REPAIR OR REPLACEMENT OF PLUMBING RISERS IN EXISTING CHASES.  LOCATIONS: 1 RESIDENTIAL UNIT(S), 0 NON-RESIDENTIAL UNIT(S), WET AREAS TO REPAIR AND REPLACE PLUMBING PIPES.</t>
  </si>
  <si>
    <t>LINE VOLTAGE ELECTRICAL WORK. NEW PERMANENT 100 AMP SERVICE DISCONNECTING MEANS WITH 1 CIRCUITS. RECEPTACLE OUTLETS: 1 . LIGHTING OUTLETS: 1. SPECIFIC LOCATION: 2603 1ST FLOOR UNIT.</t>
  </si>
  <si>
    <t>TUCKPOINTING AND UNIT MASONRY REPAIR / REPLACEMENT: 500 SQ. FT., LINTEL QTY. 0, MAX. LENGTH 0. LOCATION: MASONRY WALLS..</t>
  </si>
  <si>
    <t>LINE VOLTAGE ELECTRICAL WORK. ADD 1 CIRCUITS TO EXISTING 200 AMP SERVICE DISCONNECTING MEANS. RECEPTACLE OUTLETS: 20 . LIGHTING OUTLETS: 20. SPECIFIC LOCATION: 2ND FLOOR &amp; GARAGE.</t>
  </si>
  <si>
    <t>LINE VOLTAGE ELECTRICAL WORK. ADD 1 CIRCUITS TO EXISTING 200 AMP SERVICE DISCONNECTING MEANS. RECEPTACLE OUTLETS: 1 . LIGHTING OUTLETS: 1. SPECIFIC LOCATION: SECOND FLOOR BEDROOM. | SPECIAL CONDITION: NO OTHER WORK.</t>
  </si>
  <si>
    <t>SCOPE: ROOF REPLACEMENT. AREA: 200 SQ. FT. ROOF COVERING: OTHER. LOCATION: REPLACE THE TURRENT ROOF ON THE FRONT. IL ROOFING CONTRACTOR LICENSE: 104000191.</t>
  </si>
  <si>
    <t>FULL REBUILD (SAME AS EXISTING) FOR WOOD PORCH (OPEN) (QUANTITY: 1, LOCATION: REAR OF BUILDING).</t>
  </si>
  <si>
    <t>TUCKPOINTING AND UNIT MASONRY REPAIR / REPLACEMENT: 700 SQ. FT., LINTEL QTY. 4, MAX. LENGTH 5. LOCATION: FRONT MASONRY BRICK FACADE.</t>
  </si>
  <si>
    <t>NEW DETACHED WOOD FRAME GARAGE. DIMENSIONS AND SETBACKS PER APPLICATION. BUILDING OUTSIDE DIMENSIONS: 25'-0' ' X24'-0' '. HIP ROOF HEIGHT TO PEAK: 14'-0' '.</t>
  </si>
  <si>
    <t>REPAIR OR IN-KIND REPLACEMENT OF 1 PLUMBING FIXTURES AS DESCRIBED IN PERMIT APPLICATION.  INCLUDES REPAIR OR REPLACMENT OF PLUMBING PIPING.  LOCATIONS: 1 RESIDENTIAL UNIT(S), 0 NON-RESIDENTIAL UNIT(S),  EXTERIOR WORK, REPAIR SEWER IN FRONT YARD.</t>
  </si>
  <si>
    <t>INSTALL SOLAR PANELS ON ROOF OF PRINCIPAL BUILDING. ROOF TYPE: SLOPED (2:12 TO 5:12). INVERTER OUTPUT: 11.5 KW. ARRAY OUTPUT: 10.66 KW.   INCLUDES 13.5 KWH ENERGY STORAGE SYSTEM.  LOCATION: ROOF PLANES OF MAIN HOUSE. ICC DISTRIBUTED GENERATION INSTALLER CERT. #18-0817. | SPECIAL CONDITION: * NEC REFERENCES TO BE OMITTED FROM DRAWINGS, ALL GENERAL ELECTRICAL NOTES SHALL REFERENCE CEC 2018. * UNDERGROUND RACEWAY TO BE INSPECTED BY AHJ PRIOR TO COVERING. * REFER TO SOLAR (ACCESSORY) PERMIT B200437887 AND ELECTRICAL PERMIT B200437889.* ALL EQUIPMENT, CONNECTORS, RACEWAYS, TAPS, MUST BE LISTED AND LABELED FOR USE.</t>
  </si>
  <si>
    <t>INSTALL SOLAR PANELS ON ROOF OF ACCESSORY BUILDING. ROOF TYPE: SLOPED (2:12 TO 5:12). INVERTER OUTPUT: 11.5 KW. ARRAY OUTPUT: 2.46 KW.   INCLUDES 13.5 KWH ENERGY STORAGE SYSTEM.  LOCATION: ROOF PLANES OF DETACHED GARAGE. ICC DISTRIBUTED GENERATION INSTALLER CERT. #18-0817. | SPECIAL CONDITION: * NEC REFERENCES TO BE OMITTED FROM DRAWINGS, ALL GENERAL ELECTRICAL NOTES SHALL REFERENCE CEC 2018. * UNDERGROUND RACEWAY TO BE INSPECTED BY AHJ PRIOR TO COVERING. * REFER TO SOLAR (PRINCIPAL) PERMIT B200437885 AND ELECTRICAL PERMIT B200437889.* ALL EQUIPMENT, CONNECTORS, RACEWAYS, TAPS, MUST BE LISTED AND LABELED FOR USE.</t>
  </si>
  <si>
    <t>LINE VOLTAGE ELECTRICAL WORK. NEW PERMANENT 200 AMP SERVICE DISCONNECTING MEANS WITH 1 CIRCUITS. RECEPTACLE OUTLETS: 1 . LIGHTING OUTLETS: 0. 13.5 KWH LITHIUM ION ENERGY STORAGE SYSTEM. SPECIFIC LOCATION: EXTERIOR, TRENCHING.</t>
  </si>
  <si>
    <t>LINE VOLTAGE ELECTRICAL WORK. NEW PERMANENT 125 AMP SERVICE DISCONNECTING MEANS WITH 1 CIRCUITS. RECEPTACLE OUTLETS: 1 . LIGHTING OUTLETS: 0. 13.5 KWH LITHIUM ION ENERGY STORAGE SYSTEM. SPECIFIC LOCATION: EXTERIOR WALL, GROUNDING, PANEL, SERVICE CONDUCTOR.</t>
  </si>
  <si>
    <t>LINE VOLTAGE ELECTRICAL WORK. NEW PERMANENT 100 AMP SERVICE DISCONNECTING MEANS WITH 1 CIRCUITS. RECEPTACLE OUTLETS: 1 . LIGHTING OUTLETS: 0. 13.5 KWH LITHIUM ION ENERGY STORAGE SYSTEM. SPECIFIC LOCATION: EXTERIOR, SERVICE CONDUCTOR, PANEL.</t>
  </si>
  <si>
    <t>LINE VOLTAGE ELECTRICAL WORK. NEW PERMANENT 100 AMP SERVICE DISCONNECTING MEANS WITH 25 CIRCUITS. RECEPTACLE OUTLETS: 1 . LIGHTING OUTLETS: 0. SPECIFIC LOCATION: UNIT 1, UNIT 2, BASEMENT.</t>
  </si>
  <si>
    <t>LINE VOLTAGE ELECTRICAL WORK. REPAIR OR ALTER DEVICES ON EXISTING CIRCUITS. RECEPTACLE OUTLETS: 3 . LIGHTING OUTLETS: 3. SPECIFIC LOCATION: EXHIBIT HALL.</t>
  </si>
  <si>
    <t>PURPOSE: NEW/REPLACEMENT INSTALLATION. WOOD FENCE - 6'-0' ' (HEIGHT) X 34'-0' ' (LENGTH). LOCATION: REAR OF THE PROPERTY.</t>
  </si>
  <si>
    <t>NEW DETACHED WOOD FRAME GARAGE. DIMENSIONS AND SETBACKS PER APPLICATION. BUILDING OUTSIDE DIMENSIONS: 24'-0' ' X20'-0' '. HIP ROOF HEIGHT TO PEAK: 13'-0' '.</t>
  </si>
  <si>
    <t>LOW VOLTAGE/COMMUNICATION ELECTRICAL WORK. ALTER EXISTING OTHER. SPECIFIC LOCATION: ROOF TOP.</t>
  </si>
  <si>
    <t>NEW DETACHED WOOD FRAME GARAGE. DIMENSIONS AND SETBACKS PER APPLICATION. BUILDING OUTSIDE DIMENSIONS: 22'-0' ' X20'-0' '. GABLE ROOF HEIGHT TO PEAK: 15'-0' '.</t>
  </si>
  <si>
    <t>LINE VOLTAGE ELECTRICAL WORK. NEW PERMANENT 200 AMP SERVICE DISCONNECTING MEANS WITH 20 CIRCUITS. RECEPTACLE OUTLETS: 1 . LIGHTING OUTLETS: 1. 10 KWH LITHIUM ION ENERGY STORAGE SYSTEM. SPECIFIC LOCATION: BASEMENT AND BACKYARD.</t>
  </si>
  <si>
    <t>LOW VOLTAGE/COMMUNICATION ELECTRICAL WORK. INSTALL DATA/VIDEO. SPECIFIC LOCATION: SUITE 3350.</t>
  </si>
  <si>
    <t>IN-KIND REPLACEMENT OF EXTERIOR WINDOWS AND DOORS IN EXISTING OPENINGS. REPLACEMENT WINDOWS: 190; REPLACEMENT SKYLIGHTS: 0; REPLACEMENT DOORS: 0. AFFECTS: 0 RESIDENTIAL UNIT(S), 75 NON-RESIDENTIAL UNIT(S), LOCATION: WINDOWS REPLACED ON THE EAST, SOUTH AND 50% NORTH..</t>
  </si>
  <si>
    <t>FULL REBUILD (SAME AS EXISTING) FOR WOOD EXTERIOR STAIRWAY (QUANTITY: 1, LOCATION: REAR OF BUILDING).</t>
  </si>
  <si>
    <t>INSTALL SOLAR PANELS ON ROOF OF PRINCIPAL BUILDING. ROOF TYPE: SLOPED (2:12 TO 5:12). INVERTER OUTPUT: 11.5 KW. ARRAY OUTPUT: 0.9074 KW.   INCLUDES 13.5 KWH ENERGY STORAGE SYSTEM.  LOCATION: EXTERIOR E SIDE OF HOME INTERIOR OF HOME AND GARAG. ICC DISTRIBUTED GENERATION INSTALLER CERT. #18-0853. | SPECIAL CONDITION: * NEC REFERENCES TO BE OMITTED FROM DRAWINGS, ALL GENERAL ELECTRICAL NOTES SHALL REFERENCE CEC 2018.  * PLEASE APPLY FOR ELECTRICAL PERMIT PRIOR TO SOLAR INSPECTION AND HAVE PRESENT ON DATE OF INSPECTION OR RISK FAILURE AS PROPOSED WORK PER ELECTRICAL DRAWING.* UNDERGROUND RACEWAY TO BE INSPECTED BY AHJ PRIOR TO COVERING. * ALL EQUIPMENT, CONNECTORS, RACEWAYS, TAPS, MUST BE LISTED AND LABELED FOR USE.</t>
  </si>
  <si>
    <t>TUCKPOINTING AND UNIT MASONRY REPAIR / REPLACEMENT: 5000 SQ. FT., LINTEL QTY. 4, MAX. LENGTH 6. LOCATION: FRONT WALL.</t>
  </si>
  <si>
    <t>NEW DETACHED WOOD FRAME GARAGE. DIMENSIONS AND SETBACKS PER APPLICATION. BUILDING OUTSIDE DIMENSIONS: 22'-0' ' X26'-0' '. HIP ROOF HEIGHT TO PEAK: 15'-0' '.</t>
  </si>
  <si>
    <t>REPAIR OR IN-KIND REPLACEMENT OF 4 PLUMBING FIXTURES AS DESCRIBED IN PERMIT APPLICATION.  INCLUDES REPAIR OR REPLACMENT OF PLUMBING PIPING.  LOCATIONS: 0 RESIDENTIAL UNIT(S), 1 NON-RESIDENTIAL UNIT(S), FIRST FLOOR BAR &amp; BASEMENT.</t>
  </si>
  <si>
    <t>LINE VOLTAGE ELECTRICAL WORK. ADD 1 CIRCUITS TO EXISTING 100 AMP SERVICE DISCONNECTING MEANS. RECEPTACLE OUTLETS: 1 . LIGHTING OUTLETS: 0. ELECTRIC VEHICLE SUPPLY EQUIPMENT:1 SPACES. SPECIFIC LOCATION: PARKING SPOT.</t>
  </si>
  <si>
    <t>LOW VOLTAGE/COMMUNICATION ELECTRICAL WORK. INSTALL SECURITY. SPECIFIC LOCATION: TENANT SPACE 22.</t>
  </si>
  <si>
    <t>TUCKPOINTING AND UNIT MASONRY REPAIR / REPLACEMENT: 1400 SQ. FT., LINTEL QTY. 0, MAX. LENGTH 0. LOCATION: NORTH WALL.</t>
  </si>
  <si>
    <t>REPAIR OR IN-KIND REPLACEMENT OF 20 PLUMBING FIXTURES AS DESCRIBED IN PERMIT APPLICATION.  INCLUDES REPAIR OR REPLACMENT OF PLUMBING PIPING.  LOCATIONS: 20 RESIDENTIAL UNIT(S), 1 NON-RESIDENTIAL UNIT(S), 1 INTERIOR COMMON AREAS, 20 RESIDENTIAL UNITS ON THE EAST AND SOUTH TEAR.</t>
  </si>
  <si>
    <t>LINE VOLTAGE ELECTRICAL WORK. NEW PERMANENT 200 AMP SERVICE DISCONNECTING MEANS WITH 3 CIRCUITS. RECEPTACLE OUTLETS: 1 . LIGHTING OUTLETS: 1. SPECIFIC LOCATION: BASEMENT.</t>
  </si>
  <si>
    <t>TUCKPOINTING AND UNIT MASONRY REPAIR / REPLACEMENT: 2000 SQ. FT., LINTEL QTY. 0, MAX. LENGTH 0. LOCATION: ALL ELEVATIONS.</t>
  </si>
  <si>
    <t>NEW DETACHED WOOD FRAME GARAGE. DIMENSIONS AND SETBACKS PER APPLICATION. BUILDING OUTSIDE DIMENSIONS: 22'-0' ' X20'-0' '. GABLE ROOF HEIGHT TO PEAK: 12'-0' '.</t>
  </si>
  <si>
    <t>INSTALL SOLAR PANELS ON ROOF OF PRINCIPAL BUILDING. ROOF TYPE: LOW-SLOPED (&lt;2:12). INVERTER OUTPUT: 7.6 KW. ARRAY OUTPUT: 8.925 KW.  LOCATION: ROOFS. ICC DISTRIBUTED GENERATION INSTALLER CERT. #14-0400. | SPECIAL CONDITION: * NEC REFERENCES TO BE OMITTED FROM DRAWINGS, ALL GENERAL ELECTRICAL NOTES SHALL REFERENCE CEC 2018. * PLEASE APPLY FOR ELECTRICAL PERMIT PRIOR TO SOLAR INSPECTION AND HAVE PRESENT ON DATE OF INSPECTION OR RISK FAILURE AS PROPOSED WORK PER ELECTRICAL DRAWING.* ALL EQUIPMENT, CONNECTORS, RACEWAYS, TAPS, MUST BE LISTED AND LABELED FOR USE.</t>
  </si>
  <si>
    <t>EMERGENCY REMOVAL OF COLLASPED ROOF AND TARP ONLY . LOCATIONS: 1 RESIDENTIAL UNIT(S), 0 NON-RESIDENTIAL UNIT(S), EXTERIOR WORK, ROOF REMOVAL.</t>
  </si>
  <si>
    <t>INSTALL SOLAR PANELS ON ROOF OF ACCESSORY BUILDING. ROOF TYPE: SLOPED (2:12 TO 5:12). INVERTER OUTPUT: 10 KW. ARRAY OUTPUT: 2.46 KW.   INCLUDES 13.5 KWH ENERGY STORAGE SYSTEM.  LOCATION: ROOF PLANES OF DETACHED GARAGE. ICC DISTRIBUTED GENERATION INSTALLER CERT. #18-0817. | SPECIAL CONDITION: * NEC REFERENCES TO BE OMITTED FROM DRAWINGS, ALL GENERAL ELECTRICAL NOTES SHALL REFERENCE CEC 2018.  * REFER TO SOLAR (PRINCIPAL) PERMIT B200437890 AND ELECTRICAL PERMIT B200437283.* UNDERGROUND RACEWAY TO BE INSPECTED BY AHJ PRIOR TO COVERING. * ALL EQUIPMENT, CONNECTORS, RACEWAYS, TAPS, MUST BE LISTED AND LABELED FOR USE.</t>
  </si>
  <si>
    <t>NEW DETACHED WOOD FRAME GARAGE. DIMENSIONS AND SETBACKS PER APPLICATION. BUILDING OUTSIDE DIMENSIONS: 24'-0' ' X22'-0' '. HIP ROOF HEIGHT TO PEAK: 12'-0' '.</t>
  </si>
  <si>
    <t>LINE VOLTAGE ELECTRICAL WORK. ADD 1 CIRCUITS TO EXISTING 100 AMP SERVICE DISCONNECTING MEANS. RECEPTACLE OUTLETS: 1 . LIGHTING OUTLETS: 0. ELECTRIC VEHICLE SUPPLY EQUIPMENT:1 SPACES. SPECIFIC LOCATION: GARAGE.</t>
  </si>
  <si>
    <t>SCOPE: ROOF REPLACEMENT. AREA: 2700 SQ. FT. ROOF COVERING: ASPHALT SHINGLES. LOCATION: 2643 N MARSHFIELD AVE CHICAGO, IL 60614. IL ROOFING CONTRACTOR LICENSE: 104019663.</t>
  </si>
  <si>
    <t>NEW DETACHED WOOD FRAME GARAGE. DIMENSIONS AND SETBACKS PER APPLICATION. BUILDING OUTSIDE DIMENSIONS: 22'-0' ' X20'-0' '. HIP ROOF HEIGHT TO PEAK: 12'-0' '.</t>
  </si>
  <si>
    <t>INSTALL 12'6" LONG X 14' WIDE X 9' TALL METAL PERGOLA AT REAR YARD WTIH ELECTRICAL FOR TWO BROMIC HEATERS AND LIGHTS. LOCATIONS: 1 RESIDENTIAL UNIT(S), 0 NON-RESIDENTIAL UNIT(S), EXTERIOR WORK, REAR YARD. | SPECIAL CONDITION: NO WORK TO FRONT YARD OR ROOFLINE.</t>
  </si>
  <si>
    <t>SCOPE: NONSTRUCTURAL INTERIOR ALTERATION TO DRYWALL, RECONFIGURATION TO  PLUMBING AND MECHANICAL WITHIN EXISTING REGISTRATION AREA, MED PREP ROOM AND POC AT 4TH FLOOR. LOCATIONS: 0 RESIDENTIAL UNIT(S), 1 NON-RESIDENTIAL UNIT(S), 4TH FLOOR RECEPTION, MED PREP, AND POC.</t>
  </si>
  <si>
    <t>PURPOSE: NEW/REPLACEMENT INSTALLATION. WOOD FENCE - 6'-0' ' (HEIGHT) X 107'-0' ' (LENGTH). LOCATION: EAST SIDE OF THE PROPERTY TOWARDS THE REAR.</t>
  </si>
  <si>
    <t>TUCKPOINTING AND UNIT MASONRY REPAIR / REPLACEMENT: 2300 SQ. FT., LINTEL QTY. 0, MAX. LENGTH 0. LOCATION: EXTERIOR FRONT AND SIDE TUCKPOINTING.</t>
  </si>
  <si>
    <t>LOW VOLTAGE/COMMUNICATION ELECTRICAL WORK. INSTALL AUDIO. INSTALL DATA/VIDEO. INSTALL LIGHTING. SPECIFIC LOCATION: UNIT 5N.</t>
  </si>
  <si>
    <t>WRECK AND REMOVE DETACHED FRAME GARAGE. LOCATIONS: 1 RESIDENTIAL UNIT(S), 0 NON-RESIDENTIAL UNIT(S), EXTERIOR WORK, DEMOLISH EXISTING 1.5 CAR GARAGE.</t>
  </si>
  <si>
    <t>TUCKPOINTING AND UNIT MASONRY REPAIR / REPLACEMENT: 60 SQ. FT., LINTEL QTY. 0, MAX. LENGTH 0. LOCATION: EXTERIOR EAST RESIDENTIAL PARAPET.</t>
  </si>
  <si>
    <t>LOW VOLTAGE/COMMUNICATION ELECTRICAL WORK. INSTALL DATA/VIDEO. INSTALL AUDIO. SPECIFIC LOCATION: SOUTH WEST CORNER OF THE GROUND FLOOR.</t>
  </si>
  <si>
    <t>WRECK AND REMOVE DETACHED GARAGE - NO REPLACEMENT.</t>
  </si>
  <si>
    <t>LIMITED REPAIR (25% OR LESS) FOR WOOD PORCH (OPEN) (QUANTITY: 1, LOCATION: NORTH SIDE OF BUILDING).</t>
  </si>
  <si>
    <t>ADA MODIFICATIONS: CONSTRUCT A WOODEN DECK, STAIRS AND HANDRAILS AT THE FRONT OF THE HOUSE. LOCATIONS: 1 RESIDENTIAL UNIT(S), 0 NON-RESIDENTIAL UNIT(S), EXTERIOR WORK, FRONT ENTRANCE.</t>
  </si>
  <si>
    <t>TUCKPOINTING AND UNIT MASONRY REPAIR / REPLACEMENT: 200 SQ. FT., LINTEL QTY. 15, MAX. LENGTH 6. LOCATION: REPLACE EXISTING 15 LINTELS AND 200 SQ. BRICKS..</t>
  </si>
  <si>
    <t>WRECK AND REMOVE 1 STORY FRAME TWO CAR DETACHED GARAGE. LOCATIONS: 0 RESIDENTIAL UNIT(S), 0 NON-RESIDENTIAL UNIT(S), EXTERIOR WORK | SPECIAL CONDITION: NO WORK TO MAIN HOUSE WITH THIS APPROVAL.</t>
  </si>
  <si>
    <t>LINE VOLTAGE ELECTRICAL WORK. NEW PERMANENT 125 AMP SERVICE DISCONNECTING MEANS WITH 1 CIRCUITS. RECEPTACLE OUTLETS: 1 . LIGHTING OUTLETS: 0. 13.5 KWH LITHIUM ION ENERGY STORAGE SYSTEM. SPECIFIC LOCATION: EXTERIOR, SERVICE CONDUCTOR.</t>
  </si>
  <si>
    <t>LINE VOLTAGE ELECTRICAL WORK. ADD 2 CIRCUITS TO EXISTING 800 AMP SERVICE DISCONNECTING MEANS. RECEPTACLE OUTLETS: 2 . LIGHTING OUTLETS: 0. SPECIFIC LOCATION: MAIN FLOOR.</t>
  </si>
  <si>
    <t>LINE VOLTAGE ELECTRICAL WORK. NEW PERMANENT 200 AMP SERVICE DISCONNECTING MEANS WITH 40 CIRCUITS. RECEPTACLE OUTLETS: 1 . LIGHTING OUTLETS: 1. SPECIFIC LOCATION: 200 AMP SERVICE UPGRADE.</t>
  </si>
  <si>
    <t>INSTALL SOLAR PANELS ON ROOF OF PRINCIPAL BUILDING. ROOF TYPE: STEEP (&gt;5:12). INVERTER OUTPUT: 0.38 KW. ARRAY OUTPUT: 0.00765 KW.  LOCATION: ROOFTOP. ICC DISTRIBUTED GENERATION INSTALLER CERT. #20-0678. | SPECIAL CONDITION: * NEC REFERENCES TO BE OMITTED FROM DRAWINGS, ALL GENERAL ELECTRICAL NOTES SHALL REFERENCE CEC 2018.  * ALL EQUIPMENT, CONNECTORS, RACEWAYS, TAPS, MUST BE LISTED AND LABELED FOR USE.</t>
  </si>
  <si>
    <t>ADA MODIFICATIONS: CONSTRUCT WOODEN STAIRS AND HANDRAILS AT THE FRONT OF THE HOUSE. LOCATIONS: 1 RESIDENTIAL UNIT(S), 0 NON-RESIDENTIAL UNIT(S), EXTERIOR WORK, FRONT ENTRANCE.</t>
  </si>
  <si>
    <t>PURPOSE: LEGALIZE UNPERMITTED WORK. WOOD FENCE - 6'-0' ' (HEIGHT) X 46'-0' ' (LENGTH). WROUGHT IRON FENCE - 6'-5' ' (HEIGHT) X 153'-0' ' (LENGTH). LOCATION: REAR SECTION.</t>
  </si>
  <si>
    <t>REPAIR OR IN-KIND REPLACEMENT OF 10 PLUMBING FIXTURES AS DESCRIBED IN PERMIT APPLICATION.  REPAIR OR IN-KIND REPLACEMENT OF HOT WATER HEATER(S).  INCLUDES REPAIR OR REPLACMENT OF PLUMBING PIPING.  LOCATIONS: 1 RESIDENTIAL UNIT(S), 0 NON-RESIDENTIAL UNIT(S), BASEMENT AND 1ST FLOOR.</t>
  </si>
  <si>
    <t>LINE VOLTAGE ELECTRICAL WORK. REPAIR OR ALTER DEVICES ON EXISTING CIRCUITS. RECEPTACLE OUTLETS: 8 . LIGHTING OUTLETS: 0. SPECIFIC LOCATION: UNIT# 405: WALL, FRNT RM, DIN RM, BTHRM, KITCH.</t>
  </si>
  <si>
    <t>LOW VOLTAGE/COMMUNICATION ELECTRICAL WORK. INSTALL DATA/VIDEO. SPECIFIC LOCATION: FULTON MARKET. | SPECIAL CONDITION: NO OTHER WORK.</t>
  </si>
  <si>
    <t>PURPOSE: NEW/REPLACEMENT INSTALLATION. WROUGHT IRON FENCE - 6'-0' ' (HEIGHT) X 40'-0' ' (LENGTH). LOCATION: FRONT AND BACK OF THE HOUSE.</t>
  </si>
  <si>
    <t>SCOPE: NONSTRUCTURAL INTERIOR COSMETIC UPDATES, PATCH AND REPAIR DRYWALL, TRIM AND DOORS, REFINISH FLOORS;  NO ELECTRICAL, NO PLUMBING OR DUCTWORK IN SCOPE. LOCATIONS: 1 RESIDENTIAL UNIT(S), 0 NON-RESIDENTIAL UNIT(S), 1 INTERIOR COMMON AREAS, INTERIOR</t>
  </si>
  <si>
    <t>LINE VOLTAGE ELECTRICAL WORK. REPAIR OR ALTER DEVICES ON EXISTING CIRCUITS. RECEPTACLE OUTLETS: 10 . LIGHTING OUTLETS: 6. SPECIFIC LOCATION: 2ND FLOOR.</t>
  </si>
  <si>
    <t>SCOPE: ROOF REPLACEMENT. AREA: 18 SQ. FT. ROOF COVERING: ASPHALT SHINGLES. LOCATION: OUTSIDE, ROOF. IL ROOFING CONTRACTOR LICENSE: 104017806.</t>
  </si>
  <si>
    <t>LINE VOLTAGE ELECTRICAL WORK. ADD 1 CIRCUITS TO EXISTING 100 AMP SERVICE DISCONNECTING MEANS. RECEPTACLE OUTLETS: 1 . LIGHTING OUTLETS: 0. ELECTRIC VEHICLE SUPPLY EQUIPMENT:1 SPACES. SPECIFIC LOCATION: BASEMENT AND GARAGE.</t>
  </si>
  <si>
    <t>REPAIR OR IN-KIND REPLACEMENT OF 1 PLUMBING FIXTURES AS DESCRIBED IN PERMIT APPLICATION.  INCLUDES REPAIR OR REPLACMENT OF PLUMBING PIPING.  LOCATIONS: 1 RESIDENTIAL UNIT(S), 0 NON-RESIDENTIAL UNIT(S), UNIT #3029.</t>
  </si>
  <si>
    <t>LINE VOLTAGE ELECTRICAL WORK. NEW PERMANENT 200 AMP SERVICE DISCONNECTING MEANS WITH 40 CIRCUITS. RECEPTACLE OUTLETS: 1 . LIGHTING OUTLETS: 1. SPECIFIC LOCATION: BASEMENT.</t>
  </si>
  <si>
    <t>LINE VOLTAGE ELECTRICAL WORK. NEW PERMANENT 100 AMP SERVICE DISCONNECTING MEANS WITH 6 CIRCUITS. RECEPTACLE OUTLETS: 1 . LIGHTING OUTLETS: 2. SPECIFIC LOCATION: OUTDOOR SIGN.</t>
  </si>
  <si>
    <t>INSTALL SOLAR PANELS ON ROOF OF PRINCIPAL BUILDING. ROOF TYPE: SLOPED (2:12 TO 5:12). INVERTER OUTPUT: 10 KW. ARRAY OUTPUT: 9.84 KW.   INCLUDES 13.5 KWH ENERGY STORAGE SYSTEM.  LOCATION: ROOF PLANES OF HOME. ICC DISTRIBUTED GENERATION INSTALLER CERT. #18-0817. | SPECIAL CONDITION: * NEC REFERENCES TO BE OMITTED FROM DRAWINGS, ALL GENERAL ELECTRICAL NOTES SHALL REFERENCE CEC 2018. * REFER TO ELECTRICAL PERMIT B200437320.* ALL EQUIPMENT, CONNECTORS, RACEWAYS, TAPS, MUST BE LISTED AND LABELED FOR USE.</t>
  </si>
  <si>
    <t>LIMITED REPAIR (25% OR LESS) FOR WOOD PORCH (OPEN) (QUANTITY: 1, LOCATION: FRONT OF BUILDING).  LANDING: 34 SQUARE FEET.  LANDING NOT MORE THAN 6 FEET ABOVE GROUND.</t>
  </si>
  <si>
    <t>PURPOSE: NEW/REPLACEMENT INSTALLATION. CHAIN LINK FENCE - 6'-0' ' (HEIGHT) X 22'-0' ' (LENGTH). LOCATION: LEFT SIDE OF PROPERTY.</t>
  </si>
  <si>
    <t>INSTALL SOLAR PANELS ON ROOF OF PRINCIPAL BUILDING. ROOF TYPE: SLOPED (2:12 TO 5:12). INVERTER OUTPUT: 10 KW. ARRAY OUTPUT: 12.71 KW.   INCLUDES 13.5 KWH ENERGY STORAGE SYSTEM.  LOCATION: ROOF PLANES OF HOME. ICC DISTRIBUTED GENERATION INSTALLER CERT. #18-0817. | SPECIAL CONDITION: * NEC REFERENCES TO BE OMITTED FROM DRAWINGS, ALL GENERAL ELECTRICAL NOTES SHALL REFERENCE CEC 2018. * REFER TO ELECTRICAL PERMIT B200437596.* ALL EQUIPMENT, CONNECTORS, RACEWAYS, TAPS, MUST BE LISTED AND LABELED FOR USE.</t>
  </si>
  <si>
    <t>LINE VOLTAGE ELECTRICAL WORK. NEW PERMANENT 100 AMP SERVICE DISCONNECTING MEANS WITH 1 CIRCUITS. NEW PERMANENT 100 AMP SERVICE DISCONNECTING MEANS WITH 1 CIRCUITS. NEW PERMANENT 100 AMP SERVICE DISCONNECTING MEANS WITH 1 CIRCUITS. RECEPTACLE OUTLETS: 1 . LIGHTING OUTLETS: 0. SPECIFIC LOCATION: FRONT.</t>
  </si>
  <si>
    <t>INSTALL SOLAR PANELS ON ROOF OF PRINCIPAL BUILDING. ROOF TYPE: SLOPED (2:12 TO 5:12). INVERTER OUTPUT: 10 KW. ARRAY OUTPUT: 12.15 KW.   INCLUDES 10 KWH ENERGY STORAGE SYSTEM.  LOCATION: ROOF OF HOUSE. ICC DISTRIBUTED GENERATION INSTALLER CERT. #19-0021. | SPECIAL CONDITION: * NEC REFERENCES TO BE OMITTED FROM DRAWINGS, ALL GENERAL ELECTRICAL NOTES SHALL REFERENCE CEC 2018. * ALL EQUIPMENT, CONNECTORS, RACEWAYS, TAPS, MUST BE LISTED AND LABELED FOR USE.</t>
  </si>
  <si>
    <t>INSTALL SOLAR PANELS ON ROOF OF PRINCIPAL BUILDING. ROOF TYPE: SLOPED (2:12 TO 5:12). INVERTER OUTPUT: 10 KW. ARRAY OUTPUT: 9.02 KW.   INCLUDES 13.5 KWH ENERGY STORAGE SYSTEM.  LOCATION: ROOF PLANES OF HOME. ICC DISTRIBUTED GENERATION INSTALLER CERT. #18-0817. | SPECIAL CONDITION: * NEC REFERENCES TO BE OMITTED FROM DRAWINGS, ALL GENERAL ELECTRICAL NOTES SHALL REFERENCE CEC 2018. * REFER TO ELECTRICAL PERMIT B200438147.* ALL EQUIPMENT, CONNECTORS, RACEWAYS, TAPS, ETC... MUST BE LISTED AND LABELED FOR USE.</t>
  </si>
  <si>
    <t>LINE VOLTAGE ELECTRICAL WORK. NEW PERMANENT 100 AMP SERVICE DISCONNECTING MEANS WITH 1 CIRCUITS. NEW PERMANENT 100 AMP SERVICE DISCONNECTING MEANS WITH 1 CIRCUITS. NEW PERMANENT 100 AMP SERVICE DISCONNECTING MEANS WITH 1 CIRCUITS. NEW PERMANENT 100 AMP SERVICE DISCONNECTING MEANS WITH 1 CIRCUITS. NEW PERMANENT 100 AMP SERVICE DISCONNECTING MEANS WITH 1 CIRCUITS. NEW PERMANENT 100 AMP SERVICE DISCONNECTING MEANS WITH 1 CIRCUITS. RECEPTACLE OUTLETS: 1 . LIGHTING OUTLETS: 0. SPECIFIC LOCATION: FRONT.</t>
  </si>
  <si>
    <t>NEW DETACHED WOOD FRAME GARAGE. DIMENSIONS AND SETBACKS PER APPLICATION. BUILDING OUTSIDE DIMENSIONS: 24'-0' ' X25'-0' '. GABLE ROOF HEIGHT TO PEAK: 12'-0' '.</t>
  </si>
  <si>
    <t>LINE VOLTAGE ELECTRICAL WORK. NEW PERMANENT 200 AMP SERVICE DISCONNECTING MEANS WITH 1 CIRCUITS. RECEPTACLE OUTLETS: 1 . LIGHTING OUTLETS: 0. 13.5 KWH LITHIUM ION ENERGY STORAGE SYSTEM. SPECIFIC LOCATION: EXTERIOR WALL.</t>
  </si>
  <si>
    <t>PURPOSE: NEW/REPLACEMENT INSTALLATION. CHAIN LINK FENCE - 6'-0' ' (HEIGHT) X 30'-0' ' (LENGTH). LOCATION: FENCE REQUIRED TO COVER THE DAMAGED PORTION.</t>
  </si>
  <si>
    <t>PURPOSE: NEW/REPLACEMENT INSTALLATION. WOOD FENCE - 6'-0' ' (HEIGHT) X 24'-10' ' (LENGTH). LOCATION: REAR PROPERTY LINE.</t>
  </si>
  <si>
    <t>ADA MODIFICATIONS: CONSTRUCT A WOODEN DECK, STAIRS AND HANDRAILS AT THE FRONT OF THE HOUSE.. LOCATIONS: 1 RESIDENTIAL UNIT(S), 0 NON-RESIDENTIAL UNIT(S), EXTERIOR WORK, FRONT ENTRANCE.</t>
  </si>
  <si>
    <t>IN-KIND REPLACEMENT OF EXTERIOR WINDOWS AND DOORS IN EXISTING OPENINGS. REPLACEMENT WINDOWS: 12; REPLACEMENT SKYLIGHTS: 0; REPLACEMENT DOORS: 4. AFFECTS: 1 RESIDENTIAL UNIT(S), 0 NON-RESIDENTIAL UNIT(S), LOCATION: FIRST FLOOR.</t>
  </si>
  <si>
    <t>FULL REBUILD (SAME AS EXISTING) FOR WOOD PORCH (OPEN) (QUANTITY: 3, LOCATION: REAR OF BUILDING).</t>
  </si>
  <si>
    <t>LINE VOLTAGE ELECTRICAL WORK. NEW PERMANENT 125 AMP SERVICE DISCONNECTING MEANS WITH 1 CIRCUITS. RECEPTACLE OUTLETS: 1 . LIGHTING OUTLETS: 0. 13.5 KWH LITHIUM ION ENERGY STORAGE SYSTEM. SPECIFIC LOCATION: EXTERIOR WALL, GROUNDING/BONDING.</t>
  </si>
  <si>
    <t>FULL REBUILD (SAME AS EXISTING) FOR WOOD PORCH (OPEN) (QUANTITY: 4, LOCATION: REAR OF BUILDING).</t>
  </si>
  <si>
    <t>SCOPE: ROOF RECOVER. AREA: 6500 SQ. FT. ROOF COVERING: BUILT-UP ROOF. LOCATION: ROOFING. IL ROOFING CONTRACTOR LICENSE: 104019691.</t>
  </si>
  <si>
    <t>LOW VOLTAGE/COMMUNICATION ELECTRICAL WORK. ALTER EXISTING DATA/VIDEO. SPECIFIC LOCATION: RETAIL SPACE.</t>
  </si>
  <si>
    <t>LINE VOLTAGE ELECTRICAL WORK. NEW PERMANENT 100 AMP SERVICE DISCONNECTING MEANS WITH 30 CIRCUITS. RECEPTACLE OUTLETS: 1 . LIGHTING OUTLETS: 0. SPECIFIC LOCATION: BASEMENT.</t>
  </si>
  <si>
    <t>INSTALL SOLAR PANELS ON ROOF OF PRINCIPAL BUILDING. ROOF TYPE: SLOPED (2:12 TO 5:12). INVERTER OUTPUT: 10 KW. ARRAY OUTPUT: 9.02 KW.   INCLUDES 13.5 KWH ENERGY STORAGE SYSTEM.  LOCATION: ROOF PLANES OF HOMES. ICC DISTRIBUTED GENERATION INSTALLER CERT. #18-0817. | SPECIAL CONDITION: * NEC REFERENCES TO BE OMITTED FROM DRAWINGS, ALL GENERAL ELECTRICAL NOTES SHALL REFERENCE CEC 2018. * PLEASE REFER TO ELECTRICAL PERMIT B200437945.* ALL EQUIPMENT, CONNECTORS, RACEWAYS, TAPS, MUST BE LISTED AND LABELED FOR USE.</t>
  </si>
  <si>
    <t>SCOPE: ROOF REPLACEMENT. AREA: 2102 SQ. FT. ROOF COVERING: ASPHALT SHINGLES. LOCATION: 2102 W SUNNYSIDE AVE, CHICAGO. IL ROOFING CONTRACTOR LICENSE: 104019663.</t>
  </si>
  <si>
    <t>SCOPE: ROOF RECOVER. AREA: 3000 SQ. FT. ROOF COVERING: MINERAL - SURFACED ROLL ROOFING. LOCATION: 7429-7431 ROOF. IL ROOFING CONTRACTOR LICENSE: 104000394.</t>
  </si>
  <si>
    <t>LINE VOLTAGE ELECTRICAL WORK. NEW PERMANENT 200 AMP SERVICE DISCONNECTING MEANS WITH 1 CIRCUITS. RECEPTACLE OUTLETS: 1 . LIGHTING OUTLETS: 1. SPECIFIC LOCATION: ELECTRICAL SERVICE UPGRADE.</t>
  </si>
  <si>
    <t>SCOPE: ROOF REPLACEMENT. AREA: 3377 SQ. FT. ROOF COVERING: BUILT-UP ROOF. LOCATION: ROOF OF BUILDING. IL ROOFING CONTRACTOR LICENSE: 104020111.</t>
  </si>
  <si>
    <t>GAS PIPING EXTENSION/RECONFIGURATION, REPAIR/REPLACEMENT AFFECTING 1 SYSTEMS :   1 CHILLER(MAKE: TRANE, MODEL: GCC240A4EHA, ROOF)  1 CHILLER(MAKE: TRANE, MODEL: GCC300A4EHA, ROOF)  1 CHILLER(MAKE: TRANE, MODEL: GBC060A4EMB, ROOF)  1 CHILLER(MAKE: TRANE, MODEL: GBC048A3EMB, ROOF)  1 CHILLER(MAKE: TRANE, MODEL: YSK120A350H, ROOF) . ELECTRICAL WORK UNDER THIS PERMIT = NO . LOCATIONS: 0 RESIDENTIAL UNIT(S), 1 NON-RESIDENTIAL UNIT(S), EXTERIOR WORK,  ROOF ONLY. | SPECIAL CONDITION: CONTACT REFRIGERATION SUPERVISOR CLEMENT GAVIN 312-743-3562, PRIOR TO THE INSTALLATION OF ANY ROOFTOP EQUIPMENT, TO SCHEDULE AN INSPECTION.</t>
  </si>
  <si>
    <t>LINE VOLTAGE ELECTRICAL WORK. NEW PERMANENT 100 AMP SERVICE DISCONNECTING MEANS WITH 1 CIRCUITS. RECEPTACLE OUTLETS: 1 . LIGHTING OUTLETS: 0. SPECIFIC LOCATION: BASEMENT AND EXTERIOR.</t>
  </si>
  <si>
    <t>LINE VOLTAGE ELECTRICAL WORK. NEW PERMANENT 200 AMP SERVICE DISCONNECTING MEANS WITH 1 CIRCUITS. RECEPTACLE OUTLETS: 1 . LIGHTING OUTLETS: 1. SPECIFIC LOCATION: BASMENT.</t>
  </si>
  <si>
    <t>SCOPE: ROOF REPLACEMENT. AREA: 2381 SQ. FT. ROOF COVERING: ASPHALT SHINGLES. LOCATION: 8126 SOUTH KNOX AVENUE, CHICAGO. IL ROOFING CONTRACTOR LICENSE: 104019663.</t>
  </si>
  <si>
    <t>LOW VOLTAGE/COMMUNICATION ELECTRICAL WORK. INSTALL SECURITY. SPECIFIC LOCATION: ILLINOIS MASONIC MEDICAL CENTER FACILITY.</t>
  </si>
  <si>
    <t>TUCKPOINTING AND UNIT MASONRY REPAIR / REPLACEMENT: 250 SQ. FT., LINTEL QTY. 12, MAX. LENGTH 4. LOCATION: THE BACK OF THE BUILDING.</t>
  </si>
  <si>
    <t>TUCKPOINTING AND UNIT MASONRY REPAIR / REPLACEMENT: 68 SQ. FT., LINTEL QTY. 52, MAX. LENGTH 3. LOCATION: NORTH FACADE 2ND TO 5TH FLOORS.</t>
  </si>
  <si>
    <t>TUCKPOINTING AND UNIT MASONRY REPAIR / REPLACEMENT: 750 SQ. FT., LINTEL QTY. 0, MAX. LENGTH 0. LOCATION: FRONT FACADE, BACK FACADE.</t>
  </si>
  <si>
    <t>INSTALL SOLAR PANELS ON ROOF OF ACCESSORY BUILDING. ROOF TYPE: SLOPED (2:12 TO 5:12). INVERTER OUTPUT: 11.5 KW. ARRAY OUTPUT: 5.67 KW.   INCLUDES 13.5 KWH ENERGY STORAGE SYSTEM.  LOCATION: ROOF OF GARAGE. ICC DISTRIBUTED GENERATION INSTALLER CERT. #19-0021. | SPECIAL CONDITION: * NEC REFERENCES TO BE OMITTED FROM DRAWINGS, ALL GENERAL ELECTRICAL NOTES SHALL REFERENCE CEC 2018. * PLEASE APPLY FOR ELECTRICAL PERMIT PRIOR TO SOLAR INSPECTION AND HAVE PRESENT ON DATE OF INSPECTION OR RISK FAILURE AS PROPOSED WORK PER ELECTRICAL DRAWING.* UNDERGROUND RACEWAY TO BE INSPECTED BY AHJ PRIOR TO COVERING. * ALL EQUIPMENT, CONNECTORS, RACEWAYS, TAPS, MUST BE LISTED AND LABELED FOR USE.</t>
  </si>
  <si>
    <t>NEW DETACHED WOOD FRAME GARAGE. DIMENSIONS AND SETBACKS PER APPLICATION. BUILDING OUTSIDE DIMENSIONS: 22'-0' ' X24'-0' '. HIP ROOF HEIGHT TO PEAK: 14'-5' '.</t>
  </si>
  <si>
    <t>PURPOSE: NEW/REPLACEMENT INSTALLATION. WROUGHT IRON FENCE - 6'-0' ' (HEIGHT) X 170'-0' ' (LENGTH). LOCATION: REPAIR FENCE.</t>
  </si>
  <si>
    <t>LINE VOLTAGE ELECTRICAL WORK. NEW PERMANENT 100 AMP SERVICE DISCONNECTING MEANS WITH 2 CIRCUITS. RECEPTACLE OUTLETS: 4 . LIGHTING OUTLETS: 1. SPECIFIC LOCATION: GARAGE.</t>
  </si>
  <si>
    <t>LINE VOLTAGE ELECTRICAL WORK. ALTER EXISTING SYSTEM II EMERGENCY LIGHTING.  RECEPTACLE OUTLETS: 0 . LIGHTING OUTLETS: 0. SPECIFIC LOCATION: INTERIOR WALL FIXTURES.</t>
  </si>
  <si>
    <t>TUCKPOINTING AND UNIT MASONRY REPAIR / REPLACEMENT: 380 SQ. FT., LINTEL QTY. 0, MAX. LENGTH 0. PARAPET REBUILDING: 380 SQ. FT. LOCATION: ROOF PARAPET MASONRY WALL AT 458 WEST 32ND STREET.</t>
  </si>
  <si>
    <t>TUCKPOINTING AND UNIT MASONRY REPAIR / REPLACEMENT: 110 SQ. FT., LINTEL QTY. 0, MAX. LENGTH 0. LOCATION: WEST SIDE ON HALSTED BRICK REPLACE, TUCKPT, GRIND.</t>
  </si>
  <si>
    <t>LINE VOLTAGE ELECTRICAL WORK. REPAIR OR ALTER DEVICES ON EXISTING CIRCUITS. RECEPTACLE OUTLETS: 1 . LIGHTING OUTLETS: 0. SPECIFIC LOCATION: UNIT# 625: CLOSET/KITCHEN.</t>
  </si>
  <si>
    <t>LINE VOLTAGE ELECTRICAL WORK. NEW PERMANENT 225 AMP SERVICE DISCONNECTING MEANS WITH 1 CIRCUITS. RECEPTACLE OUTLETS: 1 . LIGHTING OUTLETS: 0. 13.5 KWH LITHIUM ION ENERGY STORAGE SYSTEM. SPECIFIC LOCATION: EXTERIOR WALL, METER, MAIN PANEL.</t>
  </si>
  <si>
    <t>LOW VOLTAGE/COMMUNICATION ELECTRICAL WORK. INSTALL DATA/VIDEO. SPECIFIC LOCATION: FIRST FLOOR.</t>
  </si>
  <si>
    <t>TUCKPOINTING AND UNIT MASONRY REPAIR / REPLACEMENT: 3500 SQ. FT., LINTEL QTY. 0, MAX. LENGTH 0. PARAPET REBUILDING: 450 SQ. FT. LOCATION: EAST AND WEST AND SOUTH AND NORTH EXTERIOR MASONRY.</t>
  </si>
  <si>
    <t>REPAIR OR IN-KIND REPLACEMENT OF 1 PLUMBING FIXTURES AS DESCRIBED IN PERMIT APPLICATION.  INCLUDES REPAIR OR REPLACMENT OF PLUMBING PIPING.  LOCATIONS: 0 RESIDENTIAL UNIT(S), 1 NON-RESIDENTIAL UNIT(S), 1 INTERIOR COMMON AREAS, BASEMENT FLOOR PERIMETER INSTALL NEW DRAIN TILE.</t>
  </si>
  <si>
    <t>LINE VOLTAGE ELECTRICAL WORK. NEW PERMANENT 200 AMP SERVICE DISCONNECTING MEANS WITH 40 CIRCUITS. RECEPTACLE OUTLETS: 1 . LIGHTING OUTLETS: 1. 10 KWH LITHIUM ION ENERGY STORAGE SYSTEM. SPECIFIC LOCATION: BASEMENT AND BACKYARD.</t>
  </si>
  <si>
    <t>FULL REBUILD (SAME AS EXISTING) FOR WOOD PORCH (OPEN) (QUANTITY: 1, LOCATION: WEST SIDE OF BUILDING).</t>
  </si>
  <si>
    <t>PURPOSE: NEW/REPLACEMENT INSTALLATION. WOOD FENCE - 6'-0' ' (HEIGHT) X 57'-0' ' (LENGTH). LOCATION: FRONT YARD.</t>
  </si>
  <si>
    <t>PURPOSE: NEW/REPLACEMENT INSTALLATION. VINYL/PVC FENCE - 6'-0' ' (HEIGHT) X 120'-0' ' (LENGTH). LOCATION: BACKYARD.</t>
  </si>
  <si>
    <t>TUCKPOINTING AND UNIT MASONRY REPAIR / REPLACEMENT: 380 SQ. FT., LINTEL QTY. 0, MAX. LENGTH 0. LOCATION: FRONT.</t>
  </si>
  <si>
    <t>SCOPE: NONSTRUCTURAL INTERIOR ALTERATION TO REPLACE EXISTING FINICHES, INSTALL NEW BEDROOM, FLOORS AND ELECTRICAL OUTLETS AND FIXTURES. LOCATIONS: 1 RESIDENTIAL UNIT(S), 0 NON-RESIDENTIAL UNIT(S), UNIT 1501.</t>
  </si>
  <si>
    <t>LINE VOLTAGE ELECTRICAL WORK. NEW PERMANENT 200 AMP SERVICE DISCONNECTING MEANS WITH 2 CIRCUITS. RECEPTACLE OUTLETS: 1 . LIGHTING OUTLETS: 1. SPECIFIC LOCATION: REAR PORCHE AND BASEMENT.</t>
  </si>
  <si>
    <t>SCOPE: ROOF REPLACEMENT. AREA: 2582 SQ. FT. ROOF COVERING: ASPHALT SHINGLES. LOCATION: ON TOP OF THE ROOF. IL ROOFING CONTRACTOR LICENSE: 104.02017.</t>
  </si>
  <si>
    <t>SCOPE: ROOF REPLACEMENT. AREA: 1680 SQ. FT. ROOF COVERING: ASPHALT SHINGLES. LOCATION: ON TOP OF THE ROOF. IL ROOFING CONTRACTOR LICENSE: 104.02017.</t>
  </si>
  <si>
    <t>LINE VOLTAGE ELECTRICAL WORK. NEW PERMANENT 200 AMP SERVICE DISCONNECTING MEANS WITH 40 CIRCUITS. RECEPTACLE OUTLETS: 1 . LIGHTING OUTLETS: 0. SPECIFIC LOCATION: BASEMENT.</t>
  </si>
  <si>
    <t>PURPOSE: NEW/REPLACEMENT INSTALLATION. WOOD FENCE - 6'-0' ' (HEIGHT) X 100'-0' ' (LENGTH). LOCATION: BACK YARD.</t>
  </si>
  <si>
    <t>LINE VOLTAGE ELECTRICAL WORK. NEW PERMANENT 125 AMP SERVICE DISCONNECTING MEANS WITH 1 CIRCUITS. RECEPTACLE OUTLETS: 1 . LIGHTING OUTLETS: 0. 13.5 KWH LITHIUM ION ENERGY STORAGE SYSTEM. SPECIFIC LOCATION: EXTERIOR, SERVICE CONDUCTOR, METER.</t>
  </si>
  <si>
    <t>INSTALL SOLAR PANELS ON ROOF OF PRINCIPAL BUILDING. ROOF TYPE: LOW-SLOPED (&lt;2:12). INVERTER OUTPUT: 11.4 KW. ARRAY OUTPUT: 14.025 KW.   INCLUDES 10 KWH ENERGY STORAGE SYSTEM.  LOCATION: ROOFTOP. ICC DISTRIBUTED GENERATION INSTALLER CERT. #13-0674. | SPECIAL CONDITION: * NEC REFERENCES TO BE OMITTED FROM DRAWINGS, ALL GENERAL ELECTRICAL NOTES SHALL REFERENCE CEC 2018. * PLEASE PROVIDE NOTARIZED LETTER FROM OWNER &amp; BUILDING MANAGEMENT WITH APPROVAL OF SOLAR INSTALLATION OF PROPOSED WORK ON BUILDING STRUCTURE AT THE TIME OF SOLAR INSPECTION OR RISK FAILURE AS PROPOSED WORK PER ELECTRICAL DRAWING.* ALL EQUIPMENT, CONNECTORS, RACEWAYS, TAPS, MUST BE LISTED AND LABELED FOR USE.</t>
  </si>
  <si>
    <t>INSTALL SOLAR PANELS ON ROOF OF PRINCIPAL BUILDING. ROOF TYPE: SLOPED (2:12 TO 5:12). INVERTER OUTPUT: 10 KW. ARRAY OUTPUT: 11.48 KW.   INCLUDES 13.5 KWH ENERGY STORAGE SYSTEM.  LOCATION: ROOF PLANES OF HOMES. ICC DISTRIBUTED GENERATION INSTALLER CERT. #18-0817. | SPECIAL CONDITION: * NEC REFERENCES TO BE OMITTED FROM DRAWINGS, ALL GENERAL ELECTRICAL NOTES SHALL REFERENCE CEC 2018. * REFER TO ELECTRICAL PERMIT B200438166.* ALL EQUIPMENT, CONNECTORS, RACEWAYS, TAPS, MUST BE LISTED AND LABELED FOR USE.</t>
  </si>
  <si>
    <t>INSTALL SOLAR PANELS ON ROOF OF PRINCIPAL BUILDING. ROOF TYPE: SLOPED (2:12 TO 5:12). INVERTER OUTPUT: 10 KW. ARRAY OUTPUT: 5.74 KW.   INCLUDES 13.5 KWH ENERGY STORAGE SYSTEM.  LOCATION: ROOF PLANES OF HOME. ICC DISTRIBUTED GENERATION INSTALLER CERT. #18-0817. | SPECIAL CONDITION: * NEC REFERENCES TO BE OMITTED FROM DRAWINGS, ALL GENERAL ELECTRICAL NOTES SHALL REFERENCE CEC 2018. * REFER TO ELECTRICAL PERMIT B00437892.* ALL EQUIPMENT, CONNECTORS, RACEWAYS, TAPS, MUST BE LISTED AND LABELED FOR USE.</t>
  </si>
  <si>
    <t>LINE VOLTAGE ELECTRICAL WORK. NEW PERMANENT 100 AMP SERVICE DISCONNECTING MEANS WITH 1 CIRCUITS. RECEPTACLE OUTLETS: 1 . LIGHTING OUTLETS: 0. SPECIFIC LOCATION: EXTERIOR.</t>
  </si>
  <si>
    <t>PURPOSE: NEW/REPLACEMENT INSTALLATION. WROUGHT IRON FENCE - 6'-0' ' (HEIGHT) X 200'-0' ' (LENGTH). LOCATION: ALONG REAR PROPERTY LINE.</t>
  </si>
  <si>
    <t>INSTALL SOLAR PANELS ON ROOF OF PRINCIPAL BUILDING. ROOF TYPE: SLOPED (2:12 TO 5:12). INVERTER OUTPUT: 10 KW. ARRAY OUTPUT: 7.79 KW.   INCLUDES 13.5 KWH ENERGY STORAGE SYSTEM.  LOCATION: ROOF PLANES OF HOME. ICC DISTRIBUTED GENERATION INSTALLER CERT. #18-0817. | SPECIAL CONDITION: * NEC REFERENCES TO BE OMITTED FROM DRAWINGS, ALL GENERAL ELECTRICAL NOTES SHALL REFERENCE CEC 2018. * PLEASE REFER TO ELECTRICAL PERMIT B200437897.* ALL EQUIPMENT, CONNECTORS, RACEWAYS, TAPS, MUST BE LISTED AND LABELED FOR USE.</t>
  </si>
  <si>
    <t>.SCOPE: NONSTRUCTURAL INTERIOR REPLACE OF (30) NEW DRYWALL SHEETS, NEW KITCHEN CABINETS AND FIXURES WITH ASSOCIATED PIPING, NEW BASEBOARDS/MOLDINGS AND DOORS; INSTALL NEW TOILET AND VANITY FAUCETWITH ASSOCIATED PIPES, NEW TILE ON BASEMENT FLOOR .LOCATIONS: 1 RESIDENTIAL UNIT(S), 0 NON-RESIDENTIAL UNIT(S), BASEMENT, KITCHEN, LIVING ROOM, BEDROOM, BATHROOM. | SPECIAL CONDITION: NO ELECTRICAL WORK OR FLOOR PLAN ALTERATIONS</t>
  </si>
  <si>
    <t>TUCKPOINTING AND UNIT MASONRY REPAIR / REPLACEMENT: 1400 SQ. FT., LINTEL QTY. 9, MAX. LENGTH 4. PARAPET REBUILDING: 430 SQ. FT. LOCATION: SOUTH, EAST AND WEST.</t>
  </si>
  <si>
    <t>LIMITED REPAIR (25% OR LESS) FOR WOOD DECK (NON-ROOFTOP) (QUANTITY: 1, LOCATION: REAR OF BUILDING).  LANDING: 24 SQUARE FEET.  LANDING NOT MORE THAN 6 FEET ABOVE GROUND.</t>
  </si>
  <si>
    <t>LOW VOLTAGE/COMMUNICATION ELECTRICAL WORK. INSTALL AUDIO. SPECIFIC LOCATION: 9TH FLOOR OFFICE SUITE 950.</t>
  </si>
  <si>
    <t>TUCKPOINTING AND UNIT MASONRY REPAIR / REPLACEMENT: 275 SQ. FT., LINTEL QTY. 20, MAX. LENGTH 5. LOCATION: SOUTH ELEVATION.</t>
  </si>
  <si>
    <t>TUCKPOINTING AND UNIT MASONRY REPAIR / REPLACEMENT: 1000 SQ. FT., LINTEL QTY. 0, MAX. LENGTH 0. LOCATION: WEST ELEVATION.</t>
  </si>
  <si>
    <t>LINE VOLTAGE ELECTRICAL WORK. NEW PERMANENT 100 AMP SERVICE DISCONNECTING MEANS WITH 1 CIRCUITS. RECEPTACLE OUTLETS: 1 . LIGHTING OUTLETS: 1. SPECIFIC LOCATION: BASEMENT.</t>
  </si>
  <si>
    <t>SCOPE: ROOF RECOVER. AREA: 18000 SQ. FT. ROOF COVERING: OTHER. LOCATION: ROOF TOP. IL ROOFING CONTRACTOR LICENSE: 104000224.</t>
  </si>
  <si>
    <t>TUCKPOINTING AND UNIT MASONRY REPAIR / REPLACEMENT: 480 SQ. FT., LINTEL QTY. 2, MAX. LENGTH 5. LOCATION: FRONT WALL, BASEMENT INSIDE WALLS, COURTYARD.</t>
  </si>
  <si>
    <t>LINE VOLTAGE ELECTRICAL WORK. NEW PERMANENT 100 AMP SERVICE DISCONNECTING MEANS WITH 1 CIRCUITS. RECEPTACLE OUTLETS: 1 . LIGHTING OUTLETS: 0. 13.5 KWH LITHIUM ION ENERGY STORAGE SYSTEM. SPECIFIC LOCATION: EXTERIOR WALL, GROUNDING, SERVICE CONDUCTOR, RISER.</t>
  </si>
  <si>
    <t>LINE VOLTAGE ELECTRICAL WORK. NEW PERMANENT 100 AMP SERVICE DISCONNECTING MEANS WITH 1 CIRCUITS. RECEPTACLE OUTLETS: 1 . LIGHTING OUTLETS: 0. 13.5 KWH LITHIUM ION ENERGY STORAGE SYSTEM. SPECIFIC LOCATION: EXTERIOR WALL, SERVICE CONDUCTOR, METER.</t>
  </si>
  <si>
    <t>TUCKPOINTING AND UNIT MASONRY REPAIR / REPLACEMENT: 2600 SQ. FT., LINTEL QTY. 0, MAX. LENGTH 0. LOCATION: PENTHOUSE.</t>
  </si>
  <si>
    <t>INSTALL SOLAR PANELS ON ROOF OF PRINCIPAL BUILDING. ROOF TYPE: STEEP (&gt;5:12). INVERTER OUTPUT: 7.98 KW. ARRAY OUTPUT: 9.45 KW.  LOCATION: ROOFTOP - PRINCIPAL STRUCTURE. ICC DISTRIBUTED GENERATION INSTALLER CERT. #18-0735. | SPECIAL CONDITION: * NEC REFERENCES TO BE OMITTED FROM DRAWINGS, ALL GENERAL ELECTRICAL NOTES SHALL REFERENCE CEC 2018. * ALL EQUIPMENT, CONNECTORS, RACEWAYS, TAPS, MUST BE LISTED AND LABELED FOR USE.</t>
  </si>
  <si>
    <t>REPAIR OR IN-KIND REPLACEMENT OF 6 PLUMBING FIXTURES AS DESCRIBED IN PERMIT APPLICATION.  REPAIR OR IN-KIND REPLACEMENT OF HOT WATER HEATER(S).  INCLUDES REPAIR OR REPLACMENT OF PLUMBING PIPING.  LOCATIONS: 2 RESIDENTIAL UNIT(S), 0 NON-RESIDENTIAL UNIT(S), 1ST AND 2ND FLOOR.</t>
  </si>
  <si>
    <t>SCOPE: ROOF REPLACEMENT. AREA: 2400 SQ. FT. ROOF COVERING: BUILT-UP ROOF. LOCATION: EXTERIOR - RE-ROOF. IL ROOFING CONTRACTOR LICENSE: 104.01409.</t>
  </si>
  <si>
    <t>INSTALL SOLAR PANELS ON ROOF OF PRINCIPAL BUILDING. ROOF TYPE: SLOPED (2:12 TO 5:12). INVERTER OUTPUT: 10 KW. ARRAY OUTPUT: 10.25 KW.   INCLUDES 13.5 KWH ENERGY STORAGE SYSTEM.  LOCATION: ROOF PLANES OF HOME. ICC DISTRIBUTED GENERATION INSTALLER CERT. #18-0817. | SPECIAL CONDITION: * NEC REFERENCES TO BE OMITTED FROM DRAWINGS, ALL GENERAL ELECTRICAL NOTES SHALL REFERENCE CEC 2018. * REFER TO ELECTRICAL PERMIT B00438406.* ALL EQUIPMENT, CONNECTORS, RACEWAYS, TAPS, MUST BE LISTED AND LABELED FOR USE.</t>
  </si>
  <si>
    <t>TUCKPOINTING AND UNIT MASONRY REPAIR / REPLACEMENT: 2000 SQ. FT., LINTEL QTY. 0, MAX. LENGTH 0. LOCATION: REMOVE EXISTING STUCCO AND INSTALL FACE BRICK -SAE.</t>
  </si>
  <si>
    <t>PURPOSE: LEGALIZE UNPERMITTED WORK. WOOD FENCE - 6'-0' ' (HEIGHT) X 130'-0' ' (LENGTH). LOCATION: BACK YARD.</t>
  </si>
  <si>
    <t>TUCKPOINTING AND UNIT MASONRY REPAIR / REPLACEMENT: 570 SQ. FT., LINTEL QTY. 24, MAX. LENGTH 5. PARAPET REBUILDING: 20 SQ. FT. LOCATION: NORTH, EAST AND WEST ELEVATIONS.</t>
  </si>
  <si>
    <t>LINE VOLTAGE ELECTRICAL WORK. NEW PERMANENT 200 AMP SERVICE DISCONNECTING MEANS WITH 2 CIRCUITS. RECEPTACLE OUTLETS: 2 . LIGHTING OUTLETS: 2. SPECIFIC LOCATION: GROUND FLOOR.</t>
  </si>
  <si>
    <t>TUCKPOINTING AND UNIT MASONRY REPAIR / REPLACEMENT: 780 SQ. FT., LINTEL QTY. 0, MAX. LENGTH 0. PARAPET REBUILDING: 350 SQ. FT. LOCATION: NORTH, EAST AND WEST.</t>
  </si>
  <si>
    <t>INSTALL SOLAR PANELS ON ROOF OF PRINCIPAL BUILDING. ROOF TYPE: LOW-SLOPED (&lt;2:12). INVERTER OUTPUT: 0.29 KW. ARRAY OUTPUT: 0.1105 KW.  LOCATION: ROOF OF MAIN HOUSE. ICC DISTRIBUTED GENERATION INSTALLER CERT. #24-0120. | SPECIAL CONDITION: * NEC REFERENCES TO BE OMITTED FROM DRAWINGS, ALL GENERAL ELECTRICAL NOTES SHALL REFERENCE CEC 2018. * REFER TO ELECTRICAL PERMIT B200438415.* ALL EQUIPMENT, CONNECTORS, RACEWAYS, TAPS, MUST BE LISTED AND LABELED FOR USE.</t>
  </si>
  <si>
    <t>NO PIN FOUND</t>
  </si>
  <si>
    <t>No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</si>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</sst>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0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>
        <v>1</v>
      </c>
      <c r="B2" t="s">
        <v>23</v>
      </c>
      <c r="C2" t="s">
        <v>214</v>
      </c>
      <c r="D2" t="s">
        <v>411</v>
      </c>
      <c r="I2">
        <v>9600</v>
      </c>
      <c r="K2" t="s">
        <v>428</v>
      </c>
      <c r="L2">
        <f>HYPERLINK("https://maps.cookcountyil.gov/cookviewer/?search=859 W ERIE ST", "859 W ERIE ST")</f>
        <v>0</v>
      </c>
      <c r="N2" t="s">
        <v>616</v>
      </c>
      <c r="P2" t="s">
        <v>617</v>
      </c>
      <c r="Q2" t="s">
        <v>800</v>
      </c>
      <c r="U2" t="s">
        <v>989</v>
      </c>
      <c r="V2" t="s">
        <v>990</v>
      </c>
    </row>
    <row r="3" spans="1:23">
      <c r="A3">
        <v>2</v>
      </c>
      <c r="B3" t="s">
        <v>24</v>
      </c>
      <c r="C3" t="s">
        <v>215</v>
      </c>
      <c r="D3" t="s">
        <v>412</v>
      </c>
      <c r="I3">
        <v>11800</v>
      </c>
      <c r="K3" t="s">
        <v>429</v>
      </c>
      <c r="L3">
        <f>HYPERLINK("https://maps.cookcountyil.gov/cookviewer/?search=1750 N SPRINGFIELD AVE", "1750 N SPRINGFIELD AVE")</f>
        <v>0</v>
      </c>
      <c r="N3" t="s">
        <v>616</v>
      </c>
      <c r="P3" t="s">
        <v>618</v>
      </c>
      <c r="Q3" t="s">
        <v>801</v>
      </c>
      <c r="U3">
        <f>HYPERLINK("https://www.cookcountyassessoril.gov/pin/13353160210000", "13-35-316-021-0000")</f>
        <v>0</v>
      </c>
      <c r="V3" t="s">
        <v>990</v>
      </c>
    </row>
    <row r="4" spans="1:23">
      <c r="A4">
        <v>3</v>
      </c>
      <c r="B4" t="s">
        <v>25</v>
      </c>
      <c r="C4" t="s">
        <v>216</v>
      </c>
      <c r="D4" t="s">
        <v>412</v>
      </c>
      <c r="I4">
        <v>6870</v>
      </c>
      <c r="K4" t="s">
        <v>430</v>
      </c>
      <c r="L4">
        <f>HYPERLINK("https://maps.cookcountyil.gov/cookviewer/?search=6235 N GLENWOOD AVE", "6235 N GLENWOOD AVE")</f>
        <v>0</v>
      </c>
      <c r="N4" t="s">
        <v>616</v>
      </c>
      <c r="P4" t="s">
        <v>619</v>
      </c>
      <c r="Q4" t="s">
        <v>802</v>
      </c>
      <c r="U4">
        <f>HYPERLINK("https://www.cookcountyassessoril.gov/pin/14051120070000", "14-05-112-007-0000")</f>
        <v>0</v>
      </c>
      <c r="V4" t="s">
        <v>990</v>
      </c>
    </row>
    <row r="5" spans="1:23">
      <c r="A5">
        <v>4</v>
      </c>
      <c r="B5" t="s">
        <v>26</v>
      </c>
      <c r="C5" t="s">
        <v>217</v>
      </c>
      <c r="D5" t="s">
        <v>412</v>
      </c>
      <c r="I5">
        <v>3322</v>
      </c>
      <c r="K5" t="s">
        <v>431</v>
      </c>
      <c r="L5">
        <f>HYPERLINK("https://maps.cookcountyil.gov/cookviewer/?search=3432 N LOWELL AVE", "3432 N LOWELL AVE")</f>
        <v>0</v>
      </c>
      <c r="N5" t="s">
        <v>616</v>
      </c>
      <c r="P5" t="s">
        <v>620</v>
      </c>
      <c r="Q5" t="s">
        <v>803</v>
      </c>
      <c r="U5">
        <f>HYPERLINK("https://www.cookcountyassessoril.gov/pin/13224090260000", "13-22-409-026-0000"), =HYPERLINK("https://www.cookcountyassessoril.gov/pin/13224090270000", "13-22-409-027-0000")</f>
        <v>0</v>
      </c>
      <c r="V5" t="s">
        <v>990</v>
      </c>
    </row>
    <row r="6" spans="1:23">
      <c r="A6">
        <v>5</v>
      </c>
      <c r="B6" t="s">
        <v>27</v>
      </c>
      <c r="C6" t="s">
        <v>218</v>
      </c>
      <c r="D6" t="s">
        <v>412</v>
      </c>
      <c r="I6">
        <v>152000</v>
      </c>
      <c r="K6" t="s">
        <v>432</v>
      </c>
      <c r="L6">
        <f>HYPERLINK("https://maps.cookcountyil.gov/cookviewer/?search=120 S RIVERSIDE PLZ", "120 S RIVERSIDE PLZ")</f>
        <v>0</v>
      </c>
      <c r="N6" t="s">
        <v>616</v>
      </c>
      <c r="P6" t="s">
        <v>621</v>
      </c>
      <c r="Q6" t="s">
        <v>804</v>
      </c>
      <c r="U6">
        <f>HYPERLINK("https://www.cookcountyassessoril.gov/pin/17161040076001", "17-16-104-007-6001"), =HYPERLINK("https://www.cookcountyassessoril.gov/pin/17161040076002", "17-16-104-007-6002")</f>
        <v>0</v>
      </c>
      <c r="V6" t="s">
        <v>990</v>
      </c>
    </row>
    <row r="7" spans="1:23">
      <c r="A7">
        <v>6</v>
      </c>
      <c r="B7" t="s">
        <v>28</v>
      </c>
      <c r="C7" t="s">
        <v>219</v>
      </c>
      <c r="D7" t="s">
        <v>413</v>
      </c>
      <c r="I7">
        <v>8000</v>
      </c>
      <c r="K7" t="s">
        <v>433</v>
      </c>
      <c r="L7">
        <f>HYPERLINK("https://maps.cookcountyil.gov/cookviewer/?search=4529 S FRANCISCO AVE", "4529 S FRANCISCO AVE")</f>
        <v>0</v>
      </c>
      <c r="N7" t="s">
        <v>616</v>
      </c>
      <c r="P7" t="s">
        <v>622</v>
      </c>
      <c r="Q7" t="s">
        <v>805</v>
      </c>
      <c r="U7">
        <f>HYPERLINK("https://www.cookcountyassessoril.gov/pin/19013230110000", "19-01-323-011-0000"), =HYPERLINK("https://www.cookcountyassessoril.gov/pin/19013230100000", "19-01-323-010-0000")</f>
        <v>0</v>
      </c>
      <c r="V7" t="s">
        <v>990</v>
      </c>
    </row>
    <row r="8" spans="1:23">
      <c r="A8">
        <v>7</v>
      </c>
      <c r="B8" t="s">
        <v>29</v>
      </c>
      <c r="C8" t="s">
        <v>220</v>
      </c>
      <c r="D8" t="s">
        <v>414</v>
      </c>
      <c r="I8">
        <v>24500</v>
      </c>
      <c r="K8" t="s">
        <v>434</v>
      </c>
      <c r="L8">
        <f>HYPERLINK("https://maps.cookcountyil.gov/cookviewer/?search=7021 N GREENVIEW AVE", "7021 N GREENVIEW AVE")</f>
        <v>0</v>
      </c>
      <c r="N8" t="s">
        <v>616</v>
      </c>
      <c r="P8" t="s">
        <v>623</v>
      </c>
      <c r="Q8" t="s">
        <v>806</v>
      </c>
      <c r="U8" t="s">
        <v>989</v>
      </c>
      <c r="V8" t="s">
        <v>990</v>
      </c>
    </row>
    <row r="9" spans="1:23">
      <c r="A9">
        <v>8</v>
      </c>
      <c r="B9" t="s">
        <v>30</v>
      </c>
      <c r="C9" t="s">
        <v>221</v>
      </c>
      <c r="D9" t="s">
        <v>412</v>
      </c>
      <c r="I9">
        <v>109851</v>
      </c>
      <c r="K9" t="s">
        <v>435</v>
      </c>
      <c r="L9">
        <f>HYPERLINK("https://maps.cookcountyil.gov/cookviewer/?search=191 N WACKER DR", "191 N WACKER DR")</f>
        <v>0</v>
      </c>
      <c r="N9" t="s">
        <v>616</v>
      </c>
      <c r="P9" t="s">
        <v>624</v>
      </c>
      <c r="Q9" t="s">
        <v>807</v>
      </c>
      <c r="U9">
        <f>HYPERLINK("https://www.cookcountyassessoril.gov/pin/17094280010000", "17-09-428-001-0000")</f>
        <v>0</v>
      </c>
      <c r="V9" t="s">
        <v>990</v>
      </c>
    </row>
    <row r="10" spans="1:23">
      <c r="A10">
        <v>9</v>
      </c>
      <c r="B10" t="s">
        <v>31</v>
      </c>
      <c r="C10" t="s">
        <v>222</v>
      </c>
      <c r="D10" t="s">
        <v>413</v>
      </c>
      <c r="I10">
        <v>11000</v>
      </c>
      <c r="K10" t="s">
        <v>436</v>
      </c>
      <c r="L10">
        <f>HYPERLINK("https://maps.cookcountyil.gov/cookviewer/?search=5140 N CALIFORNIA AVE", "5140 N CALIFORNIA AVE")</f>
        <v>0</v>
      </c>
      <c r="N10" t="s">
        <v>616</v>
      </c>
      <c r="P10" t="s">
        <v>625</v>
      </c>
      <c r="Q10" t="s">
        <v>808</v>
      </c>
      <c r="U10">
        <f>HYPERLINK("https://www.cookcountyassessoril.gov/pin/13123060100000", "13-12-306-010-0000")</f>
        <v>0</v>
      </c>
      <c r="V10" t="s">
        <v>990</v>
      </c>
    </row>
    <row r="11" spans="1:23">
      <c r="A11">
        <v>10</v>
      </c>
      <c r="B11" t="s">
        <v>32</v>
      </c>
      <c r="C11" t="s">
        <v>223</v>
      </c>
      <c r="D11" t="s">
        <v>415</v>
      </c>
      <c r="I11">
        <v>10200</v>
      </c>
      <c r="K11" t="s">
        <v>437</v>
      </c>
      <c r="L11">
        <f>HYPERLINK("https://maps.cookcountyil.gov/cookviewer/?search=2627 N SAYRE AVE", "2627 N SAYRE AVE")</f>
        <v>0</v>
      </c>
      <c r="N11" t="s">
        <v>616</v>
      </c>
      <c r="P11" t="s">
        <v>626</v>
      </c>
      <c r="Q11" t="s">
        <v>809</v>
      </c>
      <c r="U11">
        <f>HYPERLINK("https://www.cookcountyassessoril.gov/pin/13303120070000", "13-30-312-007-0000")</f>
        <v>0</v>
      </c>
      <c r="V11" t="s">
        <v>991</v>
      </c>
    </row>
    <row r="12" spans="1:23">
      <c r="A12">
        <v>11</v>
      </c>
      <c r="B12" t="s">
        <v>33</v>
      </c>
      <c r="C12" t="s">
        <v>224</v>
      </c>
      <c r="D12" t="s">
        <v>412</v>
      </c>
      <c r="I12">
        <v>195483</v>
      </c>
      <c r="K12" t="s">
        <v>438</v>
      </c>
      <c r="L12">
        <f>HYPERLINK("https://maps.cookcountyil.gov/cookviewer/?search=1501 S INDIANA AVE", "1501 S INDIANA AVE")</f>
        <v>0</v>
      </c>
      <c r="N12" t="s">
        <v>616</v>
      </c>
      <c r="P12" t="s">
        <v>627</v>
      </c>
      <c r="Q12" t="s">
        <v>810</v>
      </c>
      <c r="U12">
        <f>HYPERLINK("https://www.cookcountyassessoril.gov/pin/17221090360000", "17-22-109-036-0000")</f>
        <v>0</v>
      </c>
      <c r="V12" t="s">
        <v>991</v>
      </c>
    </row>
    <row r="13" spans="1:23">
      <c r="A13">
        <v>12</v>
      </c>
      <c r="B13" t="s">
        <v>34</v>
      </c>
      <c r="C13" t="s">
        <v>225</v>
      </c>
      <c r="D13" t="s">
        <v>412</v>
      </c>
      <c r="I13">
        <v>2000</v>
      </c>
      <c r="K13" t="s">
        <v>439</v>
      </c>
      <c r="L13">
        <f>HYPERLINK("https://maps.cookcountyil.gov/cookviewer/?search=4033 N LINCOLN AVE", "4033 N LINCOLN AVE")</f>
        <v>0</v>
      </c>
      <c r="N13" t="s">
        <v>616</v>
      </c>
      <c r="P13" t="s">
        <v>628</v>
      </c>
      <c r="Q13" t="s">
        <v>811</v>
      </c>
      <c r="U13" t="s">
        <v>989</v>
      </c>
      <c r="V13" t="s">
        <v>990</v>
      </c>
    </row>
    <row r="14" spans="1:23">
      <c r="A14">
        <v>13</v>
      </c>
      <c r="B14" t="s">
        <v>35</v>
      </c>
      <c r="C14" t="s">
        <v>226</v>
      </c>
      <c r="D14" t="s">
        <v>412</v>
      </c>
      <c r="I14">
        <v>132378</v>
      </c>
      <c r="K14" t="s">
        <v>440</v>
      </c>
      <c r="L14">
        <f>HYPERLINK("https://maps.cookcountyil.gov/cookviewer/?search=300 N LA SALLE DR", "300 N LA SALLE DR")</f>
        <v>0</v>
      </c>
      <c r="N14" t="s">
        <v>616</v>
      </c>
      <c r="P14" t="s">
        <v>629</v>
      </c>
      <c r="Q14" t="s">
        <v>812</v>
      </c>
      <c r="U14" t="s">
        <v>989</v>
      </c>
      <c r="V14" t="s">
        <v>990</v>
      </c>
    </row>
    <row r="15" spans="1:23">
      <c r="A15">
        <v>14</v>
      </c>
      <c r="B15" t="s">
        <v>36</v>
      </c>
      <c r="C15" t="s">
        <v>227</v>
      </c>
      <c r="D15" t="s">
        <v>412</v>
      </c>
      <c r="I15">
        <v>9877</v>
      </c>
      <c r="K15" t="s">
        <v>441</v>
      </c>
      <c r="L15">
        <f>HYPERLINK("https://maps.cookcountyil.gov/cookviewer/?search=9326 S BENNETT AVE", "9326 S BENNETT AVE")</f>
        <v>0</v>
      </c>
      <c r="N15" t="s">
        <v>616</v>
      </c>
      <c r="P15" t="s">
        <v>630</v>
      </c>
      <c r="Q15" t="s">
        <v>813</v>
      </c>
      <c r="U15">
        <f>HYPERLINK("https://www.cookcountyassessoril.gov/pin/25013210220000", "25-01-321-022-0000")</f>
        <v>0</v>
      </c>
      <c r="V15" t="s">
        <v>990</v>
      </c>
    </row>
    <row r="16" spans="1:23">
      <c r="A16">
        <v>15</v>
      </c>
      <c r="B16" t="s">
        <v>37</v>
      </c>
      <c r="C16" t="s">
        <v>228</v>
      </c>
      <c r="D16" t="s">
        <v>412</v>
      </c>
      <c r="I16">
        <v>41215</v>
      </c>
      <c r="K16" t="s">
        <v>442</v>
      </c>
      <c r="L16">
        <f>HYPERLINK("https://maps.cookcountyil.gov/cookviewer/?search=5578 N LEONARD AVE", "5578 N LEONARD AVE")</f>
        <v>0</v>
      </c>
      <c r="N16" t="s">
        <v>616</v>
      </c>
      <c r="P16" t="s">
        <v>631</v>
      </c>
      <c r="Q16" t="s">
        <v>814</v>
      </c>
      <c r="U16">
        <f>HYPERLINK("https://www.cookcountyassessoril.gov/pin/13091200370000", "13-09-120-037-0000")</f>
        <v>0</v>
      </c>
      <c r="V16" t="s">
        <v>991</v>
      </c>
    </row>
    <row r="17" spans="1:22">
      <c r="A17">
        <v>16</v>
      </c>
      <c r="B17" t="s">
        <v>38</v>
      </c>
      <c r="C17" t="s">
        <v>229</v>
      </c>
      <c r="D17" t="s">
        <v>412</v>
      </c>
      <c r="I17">
        <v>12000</v>
      </c>
      <c r="K17" t="s">
        <v>443</v>
      </c>
      <c r="L17">
        <f>HYPERLINK("https://maps.cookcountyil.gov/cookviewer/?search=5300 N MOBILE AVE", "5300 N MOBILE AVE")</f>
        <v>0</v>
      </c>
      <c r="N17" t="s">
        <v>616</v>
      </c>
      <c r="P17" t="s">
        <v>632</v>
      </c>
      <c r="Q17" t="s">
        <v>815</v>
      </c>
      <c r="U17">
        <f>HYPERLINK("https://www.cookcountyassessoril.gov/pin/13081170390000", "13-08-117-039-0000")</f>
        <v>0</v>
      </c>
      <c r="V17" t="s">
        <v>990</v>
      </c>
    </row>
    <row r="18" spans="1:22">
      <c r="A18">
        <v>17</v>
      </c>
      <c r="B18" t="s">
        <v>39</v>
      </c>
      <c r="C18" t="s">
        <v>230</v>
      </c>
      <c r="D18" t="s">
        <v>414</v>
      </c>
      <c r="I18">
        <v>8000</v>
      </c>
      <c r="K18" t="s">
        <v>444</v>
      </c>
      <c r="L18">
        <f>HYPERLINK("https://maps.cookcountyil.gov/cookviewer/?search=7406 N SHERIDAN RD", "7406 N SHERIDAN RD")</f>
        <v>0</v>
      </c>
      <c r="N18" t="s">
        <v>616</v>
      </c>
      <c r="P18" t="s">
        <v>633</v>
      </c>
      <c r="Q18" t="s">
        <v>816</v>
      </c>
      <c r="U18">
        <f>HYPERLINK("https://www.cookcountyassessoril.gov/pin/11293110240000", "11-29-311-024-0000")</f>
        <v>0</v>
      </c>
      <c r="V18" t="s">
        <v>990</v>
      </c>
    </row>
    <row r="19" spans="1:22">
      <c r="A19">
        <v>18</v>
      </c>
      <c r="B19" t="s">
        <v>40</v>
      </c>
      <c r="C19" t="s">
        <v>231</v>
      </c>
      <c r="D19" t="s">
        <v>412</v>
      </c>
      <c r="I19">
        <v>25900</v>
      </c>
      <c r="K19" t="s">
        <v>445</v>
      </c>
      <c r="L19">
        <f>HYPERLINK("https://maps.cookcountyil.gov/cookviewer/?search=3618 N PANAMA AVE", "3618 N PANAMA AVE")</f>
        <v>0</v>
      </c>
      <c r="N19" t="s">
        <v>616</v>
      </c>
      <c r="P19" t="s">
        <v>634</v>
      </c>
      <c r="Q19" t="s">
        <v>817</v>
      </c>
      <c r="U19">
        <f>HYPERLINK("https://www.cookcountyassessoril.gov/pin/12232290240000", "12-23-229-024-0000")</f>
        <v>0</v>
      </c>
      <c r="V19" t="s">
        <v>991</v>
      </c>
    </row>
    <row r="20" spans="1:22">
      <c r="A20">
        <v>19</v>
      </c>
      <c r="B20" t="s">
        <v>41</v>
      </c>
      <c r="C20" t="s">
        <v>232</v>
      </c>
      <c r="D20" t="s">
        <v>412</v>
      </c>
      <c r="I20">
        <v>25000</v>
      </c>
      <c r="K20" t="s">
        <v>446</v>
      </c>
      <c r="L20">
        <f>HYPERLINK("https://maps.cookcountyil.gov/cookviewer/?search=2542 W 79TH PL", "2542 W 79TH PL")</f>
        <v>0</v>
      </c>
      <c r="N20" t="s">
        <v>616</v>
      </c>
      <c r="P20" t="s">
        <v>635</v>
      </c>
      <c r="Q20" t="s">
        <v>818</v>
      </c>
      <c r="U20">
        <f>HYPERLINK("https://www.cookcountyassessoril.gov/pin/19362030370000", "19-36-203-037-0000")</f>
        <v>0</v>
      </c>
      <c r="V20" t="s">
        <v>990</v>
      </c>
    </row>
    <row r="21" spans="1:22">
      <c r="A21">
        <v>20</v>
      </c>
      <c r="B21" t="s">
        <v>42</v>
      </c>
      <c r="C21" t="s">
        <v>233</v>
      </c>
      <c r="D21" t="s">
        <v>416</v>
      </c>
      <c r="I21">
        <v>3000</v>
      </c>
      <c r="K21" t="s">
        <v>447</v>
      </c>
      <c r="L21">
        <f>HYPERLINK("https://maps.cookcountyil.gov/cookviewer/?search=3311 W 62ND PL", "3311 W 62ND PL")</f>
        <v>0</v>
      </c>
      <c r="N21" t="s">
        <v>616</v>
      </c>
      <c r="P21" t="s">
        <v>636</v>
      </c>
      <c r="Q21" t="s">
        <v>819</v>
      </c>
      <c r="U21">
        <f>HYPERLINK("https://www.cookcountyassessoril.gov/pin/19144300170000", "19-14-430-017-0000")</f>
        <v>0</v>
      </c>
      <c r="V21" t="s">
        <v>990</v>
      </c>
    </row>
    <row r="22" spans="1:22">
      <c r="A22">
        <v>21</v>
      </c>
      <c r="B22" t="s">
        <v>43</v>
      </c>
      <c r="C22" t="s">
        <v>234</v>
      </c>
      <c r="D22" t="s">
        <v>412</v>
      </c>
      <c r="I22">
        <v>55779</v>
      </c>
      <c r="K22" t="s">
        <v>448</v>
      </c>
      <c r="L22">
        <f>HYPERLINK("https://maps.cookcountyil.gov/cookviewer/?search=1501 N MAYFIELD AVE", "1501 N MAYFIELD AVE")</f>
        <v>0</v>
      </c>
      <c r="N22" t="s">
        <v>616</v>
      </c>
      <c r="P22" t="s">
        <v>637</v>
      </c>
      <c r="Q22" t="s">
        <v>820</v>
      </c>
      <c r="U22">
        <f>HYPERLINK("https://www.cookcountyassessoril.gov/pin/16052020190000", "16-05-202-019-0000")</f>
        <v>0</v>
      </c>
      <c r="V22" t="s">
        <v>991</v>
      </c>
    </row>
    <row r="23" spans="1:22">
      <c r="A23">
        <v>22</v>
      </c>
      <c r="B23" t="s">
        <v>44</v>
      </c>
      <c r="C23" t="s">
        <v>235</v>
      </c>
      <c r="D23" t="s">
        <v>412</v>
      </c>
      <c r="I23">
        <v>11900</v>
      </c>
      <c r="K23" t="s">
        <v>449</v>
      </c>
      <c r="L23">
        <f>HYPERLINK("https://maps.cookcountyil.gov/cookviewer/?search=5733 N CENTRAL PARK AVE", "5733 N CENTRAL PARK AVE")</f>
        <v>0</v>
      </c>
      <c r="N23" t="s">
        <v>616</v>
      </c>
      <c r="P23" t="s">
        <v>638</v>
      </c>
      <c r="Q23" t="s">
        <v>821</v>
      </c>
      <c r="U23">
        <f>HYPERLINK("https://www.cookcountyassessoril.gov/pin/13024170080000", "13-02-417-008-0000")</f>
        <v>0</v>
      </c>
      <c r="V23" t="s">
        <v>991</v>
      </c>
    </row>
    <row r="24" spans="1:22">
      <c r="A24">
        <v>23</v>
      </c>
      <c r="B24" t="s">
        <v>45</v>
      </c>
      <c r="C24" t="s">
        <v>236</v>
      </c>
      <c r="D24" t="s">
        <v>417</v>
      </c>
      <c r="I24">
        <v>6000</v>
      </c>
      <c r="K24" t="s">
        <v>450</v>
      </c>
      <c r="L24">
        <f>HYPERLINK("https://maps.cookcountyil.gov/cookviewer/?search=2453 W DEVON AVE", "2453 W DEVON AVE")</f>
        <v>0</v>
      </c>
      <c r="N24" t="s">
        <v>616</v>
      </c>
      <c r="P24" t="s">
        <v>639</v>
      </c>
      <c r="Q24" t="s">
        <v>822</v>
      </c>
      <c r="U24" t="s">
        <v>989</v>
      </c>
      <c r="V24" t="s">
        <v>990</v>
      </c>
    </row>
    <row r="25" spans="1:22">
      <c r="A25">
        <v>24</v>
      </c>
      <c r="B25" t="s">
        <v>46</v>
      </c>
      <c r="C25" t="s">
        <v>237</v>
      </c>
      <c r="D25" t="s">
        <v>415</v>
      </c>
      <c r="I25">
        <v>5000</v>
      </c>
      <c r="K25" t="s">
        <v>451</v>
      </c>
      <c r="L25">
        <f>HYPERLINK("https://maps.cookcountyil.gov/cookviewer/?search=1962 N LINCOLN AVE", "1962 N LINCOLN AVE")</f>
        <v>0</v>
      </c>
      <c r="N25" t="s">
        <v>616</v>
      </c>
      <c r="P25" t="s">
        <v>640</v>
      </c>
      <c r="Q25" t="s">
        <v>823</v>
      </c>
      <c r="U25">
        <f>HYPERLINK("https://www.cookcountyassessoril.gov/pin/14334010360000", "14-33-401-036-0000")</f>
        <v>0</v>
      </c>
      <c r="V25" t="s">
        <v>990</v>
      </c>
    </row>
    <row r="26" spans="1:22">
      <c r="A26">
        <v>25</v>
      </c>
      <c r="B26" t="s">
        <v>47</v>
      </c>
      <c r="C26" t="s">
        <v>238</v>
      </c>
      <c r="D26" t="s">
        <v>412</v>
      </c>
      <c r="I26">
        <v>30000</v>
      </c>
      <c r="K26" t="s">
        <v>452</v>
      </c>
      <c r="L26">
        <f>HYPERLINK("https://maps.cookcountyil.gov/cookviewer/?search=5525 W HIGGINS AVE", "5525 W HIGGINS AVE")</f>
        <v>0</v>
      </c>
      <c r="N26" t="s">
        <v>616</v>
      </c>
      <c r="P26" t="s">
        <v>641</v>
      </c>
      <c r="Q26" t="s">
        <v>824</v>
      </c>
      <c r="U26" t="s">
        <v>989</v>
      </c>
      <c r="V26" t="s">
        <v>991</v>
      </c>
    </row>
    <row r="27" spans="1:22">
      <c r="A27">
        <v>26</v>
      </c>
      <c r="B27" t="s">
        <v>48</v>
      </c>
      <c r="C27" t="s">
        <v>239</v>
      </c>
      <c r="D27" t="s">
        <v>414</v>
      </c>
      <c r="I27">
        <v>26451</v>
      </c>
      <c r="K27" t="s">
        <v>453</v>
      </c>
      <c r="L27">
        <f>HYPERLINK("https://maps.cookcountyil.gov/cookviewer/?search=13237 S CARONDOLET AVE", "13237 S CARONDOLET AVE")</f>
        <v>0</v>
      </c>
      <c r="N27" t="s">
        <v>616</v>
      </c>
      <c r="P27" t="s">
        <v>642</v>
      </c>
      <c r="Q27" t="s">
        <v>825</v>
      </c>
      <c r="U27">
        <f>HYPERLINK("https://www.cookcountyassessoril.gov/pin/26312150150000", "26-31-215-015-0000")</f>
        <v>0</v>
      </c>
      <c r="V27" t="s">
        <v>991</v>
      </c>
    </row>
    <row r="28" spans="1:22">
      <c r="A28">
        <v>27</v>
      </c>
      <c r="B28" t="s">
        <v>49</v>
      </c>
      <c r="C28" t="s">
        <v>240</v>
      </c>
      <c r="D28" t="s">
        <v>414</v>
      </c>
      <c r="I28">
        <v>25892</v>
      </c>
      <c r="K28" t="s">
        <v>454</v>
      </c>
      <c r="L28">
        <f>HYPERLINK("https://maps.cookcountyil.gov/cookviewer/?search=4235 S RICHMOND ST", "4235 S RICHMOND ST")</f>
        <v>0</v>
      </c>
      <c r="N28" t="s">
        <v>616</v>
      </c>
      <c r="P28" t="s">
        <v>643</v>
      </c>
      <c r="Q28" t="s">
        <v>826</v>
      </c>
      <c r="U28">
        <f>HYPERLINK("https://www.cookcountyassessoril.gov/pin/19011300130000", "19-01-130-013-0000")</f>
        <v>0</v>
      </c>
      <c r="V28" t="s">
        <v>990</v>
      </c>
    </row>
    <row r="29" spans="1:22">
      <c r="A29">
        <v>28</v>
      </c>
      <c r="B29" t="s">
        <v>50</v>
      </c>
      <c r="C29" t="s">
        <v>241</v>
      </c>
      <c r="D29" t="s">
        <v>418</v>
      </c>
      <c r="I29">
        <v>20000</v>
      </c>
      <c r="K29" t="s">
        <v>455</v>
      </c>
      <c r="L29">
        <f>HYPERLINK("https://maps.cookcountyil.gov/cookviewer/?search=10000 W OHARE ST", "10000 W OHARE ST")</f>
        <v>0</v>
      </c>
      <c r="N29" t="s">
        <v>616</v>
      </c>
      <c r="P29" t="s">
        <v>644</v>
      </c>
      <c r="Q29" t="s">
        <v>827</v>
      </c>
      <c r="U29" t="s">
        <v>989</v>
      </c>
      <c r="V29" t="s">
        <v>990</v>
      </c>
    </row>
    <row r="30" spans="1:22">
      <c r="A30">
        <v>29</v>
      </c>
      <c r="B30" t="s">
        <v>48</v>
      </c>
      <c r="C30" t="s">
        <v>242</v>
      </c>
      <c r="D30" t="s">
        <v>412</v>
      </c>
      <c r="I30">
        <v>5000</v>
      </c>
      <c r="K30" t="s">
        <v>453</v>
      </c>
      <c r="L30">
        <f>HYPERLINK("https://maps.cookcountyil.gov/cookviewer/?search=13237 S CARONDOLET AVE", "13237 S CARONDOLET AVE")</f>
        <v>0</v>
      </c>
      <c r="N30" t="s">
        <v>616</v>
      </c>
      <c r="P30" t="s">
        <v>642</v>
      </c>
      <c r="Q30" t="s">
        <v>828</v>
      </c>
      <c r="U30">
        <f>HYPERLINK("https://www.cookcountyassessoril.gov/pin/26312150150000", "26-31-215-015-0000")</f>
        <v>0</v>
      </c>
      <c r="V30" t="s">
        <v>990</v>
      </c>
    </row>
    <row r="31" spans="1:22">
      <c r="A31">
        <v>30</v>
      </c>
      <c r="B31" t="s">
        <v>51</v>
      </c>
      <c r="C31" t="s">
        <v>243</v>
      </c>
      <c r="D31" t="s">
        <v>414</v>
      </c>
      <c r="I31">
        <v>10950</v>
      </c>
      <c r="K31" t="s">
        <v>456</v>
      </c>
      <c r="L31">
        <f>HYPERLINK("https://maps.cookcountyil.gov/cookviewer/?search=1527 W GRANVILLE AVE", "1527 W GRANVILLE AVE")</f>
        <v>0</v>
      </c>
      <c r="N31" t="s">
        <v>616</v>
      </c>
      <c r="P31" t="s">
        <v>645</v>
      </c>
      <c r="Q31" t="s">
        <v>829</v>
      </c>
      <c r="U31" t="s">
        <v>989</v>
      </c>
      <c r="V31" t="s">
        <v>991</v>
      </c>
    </row>
    <row r="32" spans="1:22">
      <c r="A32">
        <v>31</v>
      </c>
      <c r="B32" t="s">
        <v>52</v>
      </c>
      <c r="C32" t="s">
        <v>244</v>
      </c>
      <c r="D32" t="s">
        <v>414</v>
      </c>
      <c r="I32">
        <v>26035</v>
      </c>
      <c r="K32" t="s">
        <v>457</v>
      </c>
      <c r="L32">
        <f>HYPERLINK("https://maps.cookcountyil.gov/cookviewer/?search=4842 N LEAVITT ST", "4842 N LEAVITT ST")</f>
        <v>0</v>
      </c>
      <c r="N32" t="s">
        <v>616</v>
      </c>
      <c r="P32" t="s">
        <v>646</v>
      </c>
      <c r="Q32" t="s">
        <v>826</v>
      </c>
      <c r="U32">
        <f>HYPERLINK("https://www.cookcountyassessoril.gov/pin/14073210220000", "14-07-321-022-0000")</f>
        <v>0</v>
      </c>
      <c r="V32" t="s">
        <v>990</v>
      </c>
    </row>
    <row r="33" spans="1:22">
      <c r="A33">
        <v>32</v>
      </c>
      <c r="B33" t="s">
        <v>53</v>
      </c>
      <c r="C33" t="s">
        <v>245</v>
      </c>
      <c r="D33" t="s">
        <v>414</v>
      </c>
      <c r="I33">
        <v>4000</v>
      </c>
      <c r="K33" t="s">
        <v>458</v>
      </c>
      <c r="L33">
        <f>HYPERLINK("https://maps.cookcountyil.gov/cookviewer/?search=5955 W PATTERSON AVE", "5955 W PATTERSON AVE")</f>
        <v>0</v>
      </c>
      <c r="N33" t="s">
        <v>616</v>
      </c>
      <c r="P33" t="s">
        <v>647</v>
      </c>
      <c r="Q33" t="s">
        <v>830</v>
      </c>
      <c r="U33">
        <f>HYPERLINK("https://www.cookcountyassessoril.gov/pin/13202280330000", "13-20-228-033-0000")</f>
        <v>0</v>
      </c>
      <c r="V33" t="s">
        <v>990</v>
      </c>
    </row>
    <row r="34" spans="1:22">
      <c r="A34">
        <v>33</v>
      </c>
      <c r="B34" t="s">
        <v>54</v>
      </c>
      <c r="C34" t="s">
        <v>246</v>
      </c>
      <c r="D34" t="s">
        <v>419</v>
      </c>
      <c r="I34">
        <v>2200</v>
      </c>
      <c r="K34" t="s">
        <v>459</v>
      </c>
      <c r="L34">
        <f>HYPERLINK("https://maps.cookcountyil.gov/cookviewer/?search=12837 S GREEN ST", "12837 S GREEN ST")</f>
        <v>0</v>
      </c>
      <c r="N34" t="s">
        <v>616</v>
      </c>
      <c r="P34" t="s">
        <v>648</v>
      </c>
      <c r="Q34" t="s">
        <v>831</v>
      </c>
      <c r="U34">
        <f>HYPERLINK("https://www.cookcountyassessoril.gov/pin/25322110390000", "25-32-211-039-0000")</f>
        <v>0</v>
      </c>
      <c r="V34" t="s">
        <v>990</v>
      </c>
    </row>
    <row r="35" spans="1:22">
      <c r="A35">
        <v>34</v>
      </c>
      <c r="B35" t="s">
        <v>55</v>
      </c>
      <c r="C35" t="s">
        <v>247</v>
      </c>
      <c r="D35" t="s">
        <v>418</v>
      </c>
      <c r="I35">
        <v>2000</v>
      </c>
      <c r="K35" t="s">
        <v>460</v>
      </c>
      <c r="L35">
        <f>HYPERLINK("https://maps.cookcountyil.gov/cookviewer/?search=2603 W NORTH AVE", "2603 W NORTH AVE")</f>
        <v>0</v>
      </c>
      <c r="N35" t="s">
        <v>616</v>
      </c>
      <c r="P35" t="s">
        <v>649</v>
      </c>
      <c r="Q35" t="s">
        <v>832</v>
      </c>
      <c r="U35" t="s">
        <v>989</v>
      </c>
      <c r="V35" t="s">
        <v>990</v>
      </c>
    </row>
    <row r="36" spans="1:22">
      <c r="A36">
        <v>35</v>
      </c>
      <c r="B36" t="s">
        <v>56</v>
      </c>
      <c r="C36" t="s">
        <v>248</v>
      </c>
      <c r="D36" t="s">
        <v>414</v>
      </c>
      <c r="I36">
        <v>11550</v>
      </c>
      <c r="K36" t="s">
        <v>461</v>
      </c>
      <c r="L36">
        <f>HYPERLINK("https://maps.cookcountyil.gov/cookviewer/?search=2458 W GRACE ST", "2458 W GRACE ST")</f>
        <v>0</v>
      </c>
      <c r="N36" t="s">
        <v>616</v>
      </c>
      <c r="P36" t="s">
        <v>650</v>
      </c>
      <c r="Q36" t="s">
        <v>833</v>
      </c>
      <c r="U36" t="s">
        <v>989</v>
      </c>
      <c r="V36" t="s">
        <v>990</v>
      </c>
    </row>
    <row r="37" spans="1:22">
      <c r="A37">
        <v>36</v>
      </c>
      <c r="B37" t="s">
        <v>57</v>
      </c>
      <c r="C37" t="s">
        <v>249</v>
      </c>
      <c r="D37" t="s">
        <v>420</v>
      </c>
      <c r="I37">
        <v>5000</v>
      </c>
      <c r="K37" t="s">
        <v>462</v>
      </c>
      <c r="L37">
        <f>HYPERLINK("https://maps.cookcountyil.gov/cookviewer/?search=2116 W MOFFAT ST", "2116 W MOFFAT ST")</f>
        <v>0</v>
      </c>
      <c r="N37" t="s">
        <v>616</v>
      </c>
      <c r="P37" t="s">
        <v>651</v>
      </c>
      <c r="Q37" t="s">
        <v>834</v>
      </c>
      <c r="U37">
        <f>HYPERLINK("https://www.cookcountyassessoril.gov/pin/14313140370000", "14-31-314-037-0000")</f>
        <v>0</v>
      </c>
      <c r="V37" t="s">
        <v>990</v>
      </c>
    </row>
    <row r="38" spans="1:22">
      <c r="A38">
        <v>37</v>
      </c>
      <c r="B38" t="s">
        <v>58</v>
      </c>
      <c r="C38" t="s">
        <v>250</v>
      </c>
      <c r="D38" t="s">
        <v>421</v>
      </c>
      <c r="I38">
        <v>1000</v>
      </c>
      <c r="K38" t="s">
        <v>463</v>
      </c>
      <c r="L38">
        <f>HYPERLINK("https://maps.cookcountyil.gov/cookviewer/?search=4801 S KENWOOD AVE", "4801 S KENWOOD AVE")</f>
        <v>0</v>
      </c>
      <c r="N38" t="s">
        <v>616</v>
      </c>
      <c r="P38" t="s">
        <v>652</v>
      </c>
      <c r="Q38" t="s">
        <v>835</v>
      </c>
      <c r="U38">
        <f>HYPERLINK("https://www.cookcountyassessoril.gov/pin/20112050010000", "20-11-205-001-0000")</f>
        <v>0</v>
      </c>
      <c r="V38" t="s">
        <v>990</v>
      </c>
    </row>
    <row r="39" spans="1:22">
      <c r="A39">
        <v>38</v>
      </c>
      <c r="B39" t="s">
        <v>59</v>
      </c>
      <c r="C39" t="s">
        <v>251</v>
      </c>
      <c r="D39" t="s">
        <v>414</v>
      </c>
      <c r="I39">
        <v>17000</v>
      </c>
      <c r="K39" t="s">
        <v>464</v>
      </c>
      <c r="L39">
        <f>HYPERLINK("https://maps.cookcountyil.gov/cookviewer/?search=1600 S KEDZIE AVE", "1600 S KEDZIE AVE")</f>
        <v>0</v>
      </c>
      <c r="N39" t="s">
        <v>616</v>
      </c>
      <c r="P39" t="s">
        <v>653</v>
      </c>
      <c r="Q39" t="s">
        <v>836</v>
      </c>
      <c r="U39">
        <f>HYPERLINK("https://www.cookcountyassessoril.gov/pin/16234070090000", "16-23-407-009-0000")</f>
        <v>0</v>
      </c>
      <c r="V39" t="s">
        <v>991</v>
      </c>
    </row>
    <row r="40" spans="1:22">
      <c r="A40">
        <v>39</v>
      </c>
      <c r="B40" t="s">
        <v>60</v>
      </c>
      <c r="C40" t="s">
        <v>252</v>
      </c>
      <c r="D40" t="s">
        <v>419</v>
      </c>
      <c r="I40">
        <v>17000</v>
      </c>
      <c r="K40" t="s">
        <v>465</v>
      </c>
      <c r="L40">
        <f>HYPERLINK("https://maps.cookcountyil.gov/cookviewer/?search=6438 S ST LAWRENCE AVE", "6438 S ST LAWRENCE AVE")</f>
        <v>0</v>
      </c>
      <c r="N40" t="s">
        <v>616</v>
      </c>
      <c r="P40" t="s">
        <v>654</v>
      </c>
      <c r="Q40" t="s">
        <v>837</v>
      </c>
      <c r="U40" t="s">
        <v>989</v>
      </c>
      <c r="V40" t="s">
        <v>990</v>
      </c>
    </row>
    <row r="41" spans="1:22">
      <c r="A41">
        <v>40</v>
      </c>
      <c r="B41" t="s">
        <v>61</v>
      </c>
      <c r="C41" t="s">
        <v>253</v>
      </c>
      <c r="D41" t="s">
        <v>414</v>
      </c>
      <c r="I41">
        <v>15500</v>
      </c>
      <c r="K41" t="s">
        <v>466</v>
      </c>
      <c r="L41">
        <f>HYPERLINK("https://maps.cookcountyil.gov/cookviewer/?search=3230 W 65TH ST", "3230 W 65TH ST")</f>
        <v>0</v>
      </c>
      <c r="N41" t="s">
        <v>616</v>
      </c>
      <c r="P41" t="s">
        <v>655</v>
      </c>
      <c r="Q41" t="s">
        <v>838</v>
      </c>
      <c r="U41">
        <f>HYPERLINK("https://www.cookcountyassessoril.gov/pin/19232150270000", "19-23-215-027-0000")</f>
        <v>0</v>
      </c>
      <c r="V41" t="s">
        <v>990</v>
      </c>
    </row>
    <row r="42" spans="1:22">
      <c r="A42">
        <v>41</v>
      </c>
      <c r="B42" t="s">
        <v>62</v>
      </c>
      <c r="C42" t="s">
        <v>254</v>
      </c>
      <c r="D42" t="s">
        <v>415</v>
      </c>
      <c r="I42">
        <v>20000</v>
      </c>
      <c r="K42" t="s">
        <v>467</v>
      </c>
      <c r="L42">
        <f>HYPERLINK("https://maps.cookcountyil.gov/cookviewer/?search=628 E 103RD PL", "628 E 103RD PL")</f>
        <v>0</v>
      </c>
      <c r="N42" t="s">
        <v>616</v>
      </c>
      <c r="P42" t="s">
        <v>656</v>
      </c>
      <c r="Q42" t="s">
        <v>839</v>
      </c>
      <c r="U42">
        <f>HYPERLINK("https://www.cookcountyassessoril.gov/pin/25152030440000", "25-15-203-044-0000")</f>
        <v>0</v>
      </c>
      <c r="V42" t="s">
        <v>991</v>
      </c>
    </row>
    <row r="43" spans="1:22">
      <c r="A43">
        <v>42</v>
      </c>
      <c r="B43" t="s">
        <v>63</v>
      </c>
      <c r="C43" t="s">
        <v>255</v>
      </c>
      <c r="D43" t="s">
        <v>415</v>
      </c>
      <c r="I43">
        <v>9896</v>
      </c>
      <c r="K43" t="s">
        <v>468</v>
      </c>
      <c r="L43">
        <f>HYPERLINK("https://maps.cookcountyil.gov/cookviewer/?search=6545 N SAYRE AVE", "6545 N SAYRE AVE")</f>
        <v>0</v>
      </c>
      <c r="N43" t="s">
        <v>616</v>
      </c>
      <c r="P43" t="s">
        <v>657</v>
      </c>
      <c r="Q43" t="s">
        <v>840</v>
      </c>
      <c r="U43">
        <f>HYPERLINK("https://www.cookcountyassessoril.gov/pin/10313050010000", "10-31-305-001-0000"), =HYPERLINK("https://www.cookcountyassessoril.gov/pin/10313050020000", "10-31-305-002-0000")</f>
        <v>0</v>
      </c>
      <c r="V43" t="s">
        <v>990</v>
      </c>
    </row>
    <row r="44" spans="1:22">
      <c r="A44">
        <v>43</v>
      </c>
      <c r="B44" t="s">
        <v>64</v>
      </c>
      <c r="C44" t="s">
        <v>256</v>
      </c>
      <c r="D44" t="s">
        <v>414</v>
      </c>
      <c r="I44">
        <v>34928</v>
      </c>
      <c r="K44" t="s">
        <v>469</v>
      </c>
      <c r="L44">
        <f>HYPERLINK("https://maps.cookcountyil.gov/cookviewer/?search=3411 N KOLMAR AVE", "3411 N KOLMAR AVE")</f>
        <v>0</v>
      </c>
      <c r="N44" t="s">
        <v>616</v>
      </c>
      <c r="P44" t="s">
        <v>658</v>
      </c>
      <c r="Q44" t="s">
        <v>841</v>
      </c>
      <c r="U44">
        <f>HYPERLINK("https://www.cookcountyassessoril.gov/pin/13223110180000", "13-22-311-018-0000")</f>
        <v>0</v>
      </c>
      <c r="V44" t="s">
        <v>991</v>
      </c>
    </row>
    <row r="45" spans="1:22">
      <c r="A45">
        <v>44</v>
      </c>
      <c r="B45" t="s">
        <v>64</v>
      </c>
      <c r="C45" t="s">
        <v>257</v>
      </c>
      <c r="D45" t="s">
        <v>414</v>
      </c>
      <c r="I45">
        <v>4674</v>
      </c>
      <c r="K45" t="s">
        <v>469</v>
      </c>
      <c r="L45">
        <f>HYPERLINK("https://maps.cookcountyil.gov/cookviewer/?search=3411 N KOLMAR AVE", "3411 N KOLMAR AVE")</f>
        <v>0</v>
      </c>
      <c r="N45" t="s">
        <v>616</v>
      </c>
      <c r="P45" t="s">
        <v>658</v>
      </c>
      <c r="Q45" t="s">
        <v>842</v>
      </c>
      <c r="U45">
        <f>HYPERLINK("https://www.cookcountyassessoril.gov/pin/13223110180000", "13-22-311-018-0000")</f>
        <v>0</v>
      </c>
      <c r="V45" t="s">
        <v>991</v>
      </c>
    </row>
    <row r="46" spans="1:22">
      <c r="A46">
        <v>45</v>
      </c>
      <c r="B46" t="s">
        <v>64</v>
      </c>
      <c r="C46" t="s">
        <v>258</v>
      </c>
      <c r="D46" t="s">
        <v>413</v>
      </c>
      <c r="I46">
        <v>10700</v>
      </c>
      <c r="K46" t="s">
        <v>469</v>
      </c>
      <c r="L46">
        <f>HYPERLINK("https://maps.cookcountyil.gov/cookviewer/?search=3411 N KOLMAR AVE", "3411 N KOLMAR AVE")</f>
        <v>0</v>
      </c>
      <c r="N46" t="s">
        <v>616</v>
      </c>
      <c r="P46" t="s">
        <v>658</v>
      </c>
      <c r="Q46" t="s">
        <v>843</v>
      </c>
      <c r="U46">
        <f>HYPERLINK("https://www.cookcountyassessoril.gov/pin/13223110180000", "13-22-311-018-0000")</f>
        <v>0</v>
      </c>
      <c r="V46" t="s">
        <v>990</v>
      </c>
    </row>
    <row r="47" spans="1:22">
      <c r="A47">
        <v>46</v>
      </c>
      <c r="B47" t="s">
        <v>65</v>
      </c>
      <c r="C47" t="s">
        <v>259</v>
      </c>
      <c r="D47" t="s">
        <v>414</v>
      </c>
      <c r="I47">
        <v>4950</v>
      </c>
      <c r="K47" t="s">
        <v>470</v>
      </c>
      <c r="L47">
        <f>HYPERLINK("https://maps.cookcountyil.gov/cookviewer/?search=7528 S WINCHESTER AVE", "7528 S WINCHESTER AVE")</f>
        <v>0</v>
      </c>
      <c r="N47" t="s">
        <v>616</v>
      </c>
      <c r="P47" t="s">
        <v>659</v>
      </c>
      <c r="Q47" t="s">
        <v>844</v>
      </c>
      <c r="U47" t="s">
        <v>989</v>
      </c>
      <c r="V47" t="s">
        <v>990</v>
      </c>
    </row>
    <row r="48" spans="1:22">
      <c r="A48">
        <v>47</v>
      </c>
      <c r="B48" t="s">
        <v>66</v>
      </c>
      <c r="C48" t="s">
        <v>260</v>
      </c>
      <c r="D48" t="s">
        <v>414</v>
      </c>
      <c r="I48">
        <v>7400</v>
      </c>
      <c r="K48" t="s">
        <v>471</v>
      </c>
      <c r="L48">
        <f>HYPERLINK("https://maps.cookcountyil.gov/cookviewer/?search=6112 S NAGLE AVE", "6112 S NAGLE AVE")</f>
        <v>0</v>
      </c>
      <c r="N48" t="s">
        <v>616</v>
      </c>
      <c r="P48" t="s">
        <v>660</v>
      </c>
      <c r="Q48" t="s">
        <v>845</v>
      </c>
      <c r="U48">
        <f>HYPERLINK("https://www.cookcountyassessoril.gov/pin/19184200210000", "19-18-420-021-0000")</f>
        <v>0</v>
      </c>
      <c r="V48" t="s">
        <v>990</v>
      </c>
    </row>
    <row r="49" spans="1:22">
      <c r="A49">
        <v>48</v>
      </c>
      <c r="B49" t="s">
        <v>67</v>
      </c>
      <c r="C49" t="s">
        <v>261</v>
      </c>
      <c r="D49" t="s">
        <v>414</v>
      </c>
      <c r="I49">
        <v>11183</v>
      </c>
      <c r="K49" t="s">
        <v>472</v>
      </c>
      <c r="L49">
        <f>HYPERLINK("https://maps.cookcountyil.gov/cookviewer/?search=1722 N MONITOR AVE", "1722 N MONITOR AVE")</f>
        <v>0</v>
      </c>
      <c r="N49" t="s">
        <v>616</v>
      </c>
      <c r="P49" t="s">
        <v>661</v>
      </c>
      <c r="Q49" t="s">
        <v>846</v>
      </c>
      <c r="U49" t="s">
        <v>989</v>
      </c>
      <c r="V49" t="s">
        <v>990</v>
      </c>
    </row>
    <row r="50" spans="1:22">
      <c r="A50">
        <v>49</v>
      </c>
      <c r="B50" t="s">
        <v>68</v>
      </c>
      <c r="C50" t="s">
        <v>262</v>
      </c>
      <c r="D50" t="s">
        <v>416</v>
      </c>
      <c r="I50">
        <v>3000</v>
      </c>
      <c r="K50" t="s">
        <v>473</v>
      </c>
      <c r="L50">
        <f>HYPERLINK("https://maps.cookcountyil.gov/cookviewer/?search=301 E CERMAK RD", "301 E CERMAK RD")</f>
        <v>0</v>
      </c>
      <c r="N50" t="s">
        <v>616</v>
      </c>
      <c r="P50" t="s">
        <v>662</v>
      </c>
      <c r="Q50" t="s">
        <v>847</v>
      </c>
      <c r="U50">
        <f>HYPERLINK("https://www.cookcountyassessoril.gov/pin/17223200240000", "17-22-320-024-0000"), =HYPERLINK("https://www.cookcountyassessoril.gov/pin/17223210240000", "17-22-321-024-0000"), =HYPERLINK("https://www.cookcountyassessoril.gov/pin/17223200230000", "17-22-320-023-0000"), =HYPERLINK("https://www.cookcountyassessoril.gov/pin/17272060030000", "17-27-206-003-0000"), =HYPERLINK("https://www.cookcountyassessoril.gov/pin/17223200250000", "17-22-320-025-0000"), =HYPERLINK("https://www.cookcountyassessoril.gov/pin/17272060040000", "17-27-206-004-0000"), =HYPERLINK("https://www.cookcountyassessoril.gov/pin/17271210400000", "17-27-121-040-0000"), =HYPERLINK("https://www.cookcountyassessoril.gov/pin/17272060070000", "17-27-206-007-0000"), =HYPERLINK("https://www.cookcountyassessoril.gov/pin/17223210250000", "17-22-321-025-0000"), =HYPERLINK("https://www.cookcountyassessoril.gov/pin/17271060180000", "17-27-106-018-0000"), =HYPERLINK("https://www.cookcountyassessoril.gov/pin/17223230020000", "17-22-323-002-0000"), =HYPERLINK("https://www.cookcountyassessoril.gov/pin/17223150690000", "17-22-315-069-0000"), =HYPERLINK("https://www.cookcountyassessoril.gov/pin/17272060020000", "17-27-206-002-0000"), =HYPERLINK("https://www.cookcountyassessoril.gov/pin/17223230010000", "17-22-323-001-0000"), =HYPERLINK("https://www.cookcountyassessoril.gov/pin/17272060050000", "17-27-206-005-0000"), =HYPERLINK("https://www.cookcountyassessoril.gov/pin/17271060160000", "17-27-106-016-0000"), =HYPERLINK("https://www.cookcountyassessoril.gov/pin/17272060010000", "17-27-206-001-0000"), =HYPERLINK("https://www.cookcountyassessoril.gov/pin/17224000020000", "17-22-400-002-0000"), =HYPERLINK("https://www.cookcountyassessoril.gov/pin/17271040270000", "17-27-104-027-0000"), =HYPERLINK("https://www.cookcountyassessoril.gov/pin/17271050400000", "17-27-105-040-0000"), =HYPERLINK("https://www.cookcountyassessoril.gov/pin/17272020210000", "17-27-202-021-0000"), =HYPERLINK("https://www.cookcountyassessoril.gov/pin/17271050420000", "17-27-105-042-0000"), =HYPERLINK("https://www.cookcountyassessoril.gov/pin/17224000010000", "17-22-400-001-0000"), =HYPERLINK("https://www.cookcountyassessoril.gov/pin/17271050410000", "17-27-105-041-0000"), =HYPERLINK("https://www.cookcountyassessoril.gov/pin/17271190530000", "17-27-119-053-0000"), =HYPERLINK("https://www.cookcountyassessoril.gov/pin/17271040260000", "17-27-104-026-0000"), =HYPERLINK("https://www.cookcountyassessoril.gov/pin/17272060060000", "17-27-206-006-0000"), =HYPERLINK("https://www.cookcountyassessoril.gov/pin/17274120010000", "17-27-412-001-0000"), =HYPERLINK("https://www.cookcountyassessoril.gov/pin/17271060170000", "17-27-106-017-0000"), =HYPERLINK("https://www.cookcountyassessoril.gov/pin/17271050440000", "17-27-105-044-0000"), =HYPERLINK("https://www.cookcountyassessoril.gov/pin/17271050430000", "17-27-105-043-0000")</f>
        <v>0</v>
      </c>
      <c r="V50" t="s">
        <v>990</v>
      </c>
    </row>
    <row r="51" spans="1:22">
      <c r="A51">
        <v>50</v>
      </c>
      <c r="B51" t="s">
        <v>69</v>
      </c>
      <c r="C51" t="s">
        <v>263</v>
      </c>
      <c r="D51" t="s">
        <v>416</v>
      </c>
      <c r="I51">
        <v>2166</v>
      </c>
      <c r="K51" t="s">
        <v>474</v>
      </c>
      <c r="L51">
        <f>HYPERLINK("https://maps.cookcountyil.gov/cookviewer/?search=942 N LOCKWOOD AVE", "942 N LOCKWOOD AVE")</f>
        <v>0</v>
      </c>
      <c r="N51" t="s">
        <v>616</v>
      </c>
      <c r="P51" t="s">
        <v>663</v>
      </c>
      <c r="Q51" t="s">
        <v>848</v>
      </c>
      <c r="U51">
        <f>HYPERLINK("https://www.cookcountyassessoril.gov/pin/16043210220000", "16-04-321-022-0000")</f>
        <v>0</v>
      </c>
      <c r="V51" t="s">
        <v>990</v>
      </c>
    </row>
    <row r="52" spans="1:22">
      <c r="A52">
        <v>51</v>
      </c>
      <c r="B52" t="s">
        <v>70</v>
      </c>
      <c r="C52" t="s">
        <v>264</v>
      </c>
      <c r="D52" t="s">
        <v>414</v>
      </c>
      <c r="I52">
        <v>28168</v>
      </c>
      <c r="K52" t="s">
        <v>475</v>
      </c>
      <c r="L52">
        <f>HYPERLINK("https://maps.cookcountyil.gov/cookviewer/?search=6152 S MAPLEWOOD AVE", "6152 S MAPLEWOOD AVE")</f>
        <v>0</v>
      </c>
      <c r="N52" t="s">
        <v>616</v>
      </c>
      <c r="P52" t="s">
        <v>664</v>
      </c>
      <c r="Q52" t="s">
        <v>849</v>
      </c>
      <c r="U52">
        <f>HYPERLINK("https://www.cookcountyassessoril.gov/pin/19134200360000", "19-13-420-036-0000")</f>
        <v>0</v>
      </c>
      <c r="V52" t="s">
        <v>991</v>
      </c>
    </row>
    <row r="53" spans="1:22">
      <c r="A53">
        <v>52</v>
      </c>
      <c r="B53" t="s">
        <v>71</v>
      </c>
      <c r="C53" t="s">
        <v>265</v>
      </c>
      <c r="D53" t="s">
        <v>418</v>
      </c>
      <c r="I53">
        <v>26400</v>
      </c>
      <c r="K53" t="s">
        <v>476</v>
      </c>
      <c r="L53">
        <f>HYPERLINK("https://maps.cookcountyil.gov/cookviewer/?search=1110 E 130TH PL", "1110 E 130TH PL")</f>
        <v>0</v>
      </c>
      <c r="N53" t="s">
        <v>616</v>
      </c>
      <c r="P53" t="s">
        <v>665</v>
      </c>
      <c r="Q53" t="s">
        <v>850</v>
      </c>
      <c r="U53" t="s">
        <v>989</v>
      </c>
      <c r="V53" t="s">
        <v>991</v>
      </c>
    </row>
    <row r="54" spans="1:22">
      <c r="A54">
        <v>53</v>
      </c>
      <c r="B54" t="s">
        <v>72</v>
      </c>
      <c r="C54" t="s">
        <v>266</v>
      </c>
      <c r="D54" t="s">
        <v>422</v>
      </c>
      <c r="I54">
        <v>14000</v>
      </c>
      <c r="K54" t="s">
        <v>477</v>
      </c>
      <c r="L54">
        <f>HYPERLINK("https://maps.cookcountyil.gov/cookviewer/?search=3254 N NORMANDY AVE", "3254 N NORMANDY AVE")</f>
        <v>0</v>
      </c>
      <c r="N54" t="s">
        <v>616</v>
      </c>
      <c r="P54" t="s">
        <v>666</v>
      </c>
      <c r="Q54" t="s">
        <v>851</v>
      </c>
      <c r="U54">
        <f>HYPERLINK("https://www.cookcountyassessoril.gov/pin/13194270160000", "13-19-427-016-0000")</f>
        <v>0</v>
      </c>
      <c r="V54" t="s">
        <v>991</v>
      </c>
    </row>
    <row r="55" spans="1:22">
      <c r="A55">
        <v>54</v>
      </c>
      <c r="B55" t="s">
        <v>73</v>
      </c>
      <c r="C55" t="s">
        <v>267</v>
      </c>
      <c r="D55" t="s">
        <v>415</v>
      </c>
      <c r="I55">
        <v>5000</v>
      </c>
      <c r="K55" t="s">
        <v>478</v>
      </c>
      <c r="L55">
        <f>HYPERLINK("https://maps.cookcountyil.gov/cookviewer/?search=4431 S SACRAMENTO AVE", "4431 S SACRAMENTO AVE")</f>
        <v>0</v>
      </c>
      <c r="N55" t="s">
        <v>616</v>
      </c>
      <c r="P55" t="s">
        <v>667</v>
      </c>
      <c r="Q55" t="s">
        <v>852</v>
      </c>
      <c r="U55" t="s">
        <v>989</v>
      </c>
      <c r="V55" t="s">
        <v>990</v>
      </c>
    </row>
    <row r="56" spans="1:22">
      <c r="A56">
        <v>55</v>
      </c>
      <c r="B56" t="s">
        <v>74</v>
      </c>
      <c r="C56" t="s">
        <v>268</v>
      </c>
      <c r="D56" t="s">
        <v>415</v>
      </c>
      <c r="I56">
        <v>22210</v>
      </c>
      <c r="K56" t="s">
        <v>479</v>
      </c>
      <c r="L56">
        <f>HYPERLINK("https://maps.cookcountyil.gov/cookviewer/?search=222 W ADAMS ST", "222 W ADAMS ST")</f>
        <v>0</v>
      </c>
      <c r="N56" t="s">
        <v>616</v>
      </c>
      <c r="P56" t="s">
        <v>668</v>
      </c>
      <c r="Q56" t="s">
        <v>853</v>
      </c>
      <c r="U56">
        <f>HYPERLINK("https://www.cookcountyassessoril.gov/pin/17162090080000", "17-16-209-008-0000")</f>
        <v>0</v>
      </c>
      <c r="V56" t="s">
        <v>990</v>
      </c>
    </row>
    <row r="57" spans="1:22">
      <c r="A57">
        <v>56</v>
      </c>
      <c r="B57" t="s">
        <v>75</v>
      </c>
      <c r="C57" t="s">
        <v>269</v>
      </c>
      <c r="D57" t="s">
        <v>415</v>
      </c>
      <c r="I57">
        <v>50000</v>
      </c>
      <c r="K57" t="s">
        <v>480</v>
      </c>
      <c r="L57">
        <f>HYPERLINK("https://maps.cookcountyil.gov/cookviewer/?search=2150 S CANALPORT AVE", "2150 S CANALPORT AVE")</f>
        <v>0</v>
      </c>
      <c r="N57" t="s">
        <v>616</v>
      </c>
      <c r="P57" t="s">
        <v>669</v>
      </c>
      <c r="Q57" t="s">
        <v>854</v>
      </c>
      <c r="U57">
        <f>HYPERLINK("https://www.cookcountyassessoril.gov/pin/17204410020000", "17-20-441-002-0000"), =HYPERLINK("https://www.cookcountyassessoril.gov/pin/17204410030000", "17-20-441-003-0000")</f>
        <v>0</v>
      </c>
      <c r="V57" t="s">
        <v>990</v>
      </c>
    </row>
    <row r="58" spans="1:22">
      <c r="A58">
        <v>57</v>
      </c>
      <c r="B58" t="s">
        <v>76</v>
      </c>
      <c r="C58" t="s">
        <v>270</v>
      </c>
      <c r="D58" t="s">
        <v>411</v>
      </c>
      <c r="I58">
        <v>35000</v>
      </c>
      <c r="K58" t="s">
        <v>481</v>
      </c>
      <c r="L58">
        <f>HYPERLINK("https://maps.cookcountyil.gov/cookviewer/?search=7544 S ESSEX AVE", "7544 S ESSEX AVE")</f>
        <v>0</v>
      </c>
      <c r="N58" t="s">
        <v>616</v>
      </c>
      <c r="P58" t="s">
        <v>670</v>
      </c>
      <c r="Q58" t="s">
        <v>855</v>
      </c>
      <c r="U58">
        <f>HYPERLINK("https://www.cookcountyassessoril.gov/pin/21303010210000", "21-30-301-021-0000")</f>
        <v>0</v>
      </c>
      <c r="V58" t="s">
        <v>990</v>
      </c>
    </row>
    <row r="59" spans="1:22">
      <c r="A59">
        <v>58</v>
      </c>
      <c r="B59" t="s">
        <v>77</v>
      </c>
      <c r="C59" t="s">
        <v>271</v>
      </c>
      <c r="D59" t="s">
        <v>423</v>
      </c>
      <c r="I59">
        <v>56269</v>
      </c>
      <c r="K59" t="s">
        <v>482</v>
      </c>
      <c r="L59">
        <f>HYPERLINK("https://maps.cookcountyil.gov/cookviewer/?search=6251 W GRAND AVE", "6251 W GRAND AVE")</f>
        <v>0</v>
      </c>
      <c r="N59" t="s">
        <v>616</v>
      </c>
      <c r="P59" t="s">
        <v>671</v>
      </c>
      <c r="Q59" t="s">
        <v>856</v>
      </c>
      <c r="U59">
        <f>HYPERLINK("https://www.cookcountyassessoril.gov/pin/13321120040000", "13-32-112-004-0000")</f>
        <v>0</v>
      </c>
      <c r="V59" t="s">
        <v>991</v>
      </c>
    </row>
    <row r="60" spans="1:22">
      <c r="A60">
        <v>59</v>
      </c>
      <c r="B60" t="s">
        <v>78</v>
      </c>
      <c r="C60" t="s">
        <v>272</v>
      </c>
      <c r="D60" t="s">
        <v>416</v>
      </c>
      <c r="I60">
        <v>3000</v>
      </c>
      <c r="K60" t="s">
        <v>483</v>
      </c>
      <c r="L60">
        <f>HYPERLINK("https://maps.cookcountyil.gov/cookviewer/?search=5650 W DIVERSEY AVE", "5650 W DIVERSEY AVE")</f>
        <v>0</v>
      </c>
      <c r="N60" t="s">
        <v>616</v>
      </c>
      <c r="P60" t="s">
        <v>672</v>
      </c>
      <c r="Q60" t="s">
        <v>857</v>
      </c>
      <c r="U60">
        <f>HYPERLINK("https://www.cookcountyassessoril.gov/pin/13292300300000", "13-29-230-030-0000")</f>
        <v>0</v>
      </c>
      <c r="V60" t="s">
        <v>990</v>
      </c>
    </row>
    <row r="61" spans="1:22">
      <c r="A61">
        <v>60</v>
      </c>
      <c r="B61" t="s">
        <v>79</v>
      </c>
      <c r="C61" t="s">
        <v>273</v>
      </c>
      <c r="D61" t="s">
        <v>417</v>
      </c>
      <c r="I61">
        <v>42200</v>
      </c>
      <c r="K61" t="s">
        <v>484</v>
      </c>
      <c r="L61">
        <f>HYPERLINK("https://maps.cookcountyil.gov/cookviewer/?search=5710 W 58TH ST", "5710 W 58TH ST")</f>
        <v>0</v>
      </c>
      <c r="N61" t="s">
        <v>616</v>
      </c>
      <c r="P61" t="s">
        <v>673</v>
      </c>
      <c r="Q61" t="s">
        <v>858</v>
      </c>
      <c r="U61">
        <f>HYPERLINK("https://www.cookcountyassessoril.gov/pin/19172210340000", "19-17-221-034-0000")</f>
        <v>0</v>
      </c>
      <c r="V61" t="s">
        <v>991</v>
      </c>
    </row>
    <row r="62" spans="1:22">
      <c r="A62">
        <v>61</v>
      </c>
      <c r="B62" t="s">
        <v>78</v>
      </c>
      <c r="C62" t="s">
        <v>274</v>
      </c>
      <c r="D62" t="s">
        <v>416</v>
      </c>
      <c r="I62">
        <v>6000</v>
      </c>
      <c r="K62" t="s">
        <v>483</v>
      </c>
      <c r="L62">
        <f>HYPERLINK("https://maps.cookcountyil.gov/cookviewer/?search=5650 W DIVERSEY AVE", "5650 W DIVERSEY AVE")</f>
        <v>0</v>
      </c>
      <c r="N62" t="s">
        <v>616</v>
      </c>
      <c r="P62" t="s">
        <v>672</v>
      </c>
      <c r="Q62" t="s">
        <v>859</v>
      </c>
      <c r="U62">
        <f>HYPERLINK("https://www.cookcountyassessoril.gov/pin/13292300300000", "13-29-230-030-0000")</f>
        <v>0</v>
      </c>
      <c r="V62" t="s">
        <v>990</v>
      </c>
    </row>
    <row r="63" spans="1:22">
      <c r="A63">
        <v>62</v>
      </c>
      <c r="B63" t="s">
        <v>80</v>
      </c>
      <c r="C63" t="s">
        <v>275</v>
      </c>
      <c r="D63" t="s">
        <v>413</v>
      </c>
      <c r="I63">
        <v>4950</v>
      </c>
      <c r="K63" t="s">
        <v>485</v>
      </c>
      <c r="L63">
        <f>HYPERLINK("https://maps.cookcountyil.gov/cookviewer/?search=30 N MORGAN ST", "30 N MORGAN ST")</f>
        <v>0</v>
      </c>
      <c r="N63" t="s">
        <v>616</v>
      </c>
      <c r="P63" t="s">
        <v>674</v>
      </c>
      <c r="Q63" t="s">
        <v>860</v>
      </c>
      <c r="U63" t="s">
        <v>989</v>
      </c>
      <c r="V63" t="s">
        <v>990</v>
      </c>
    </row>
    <row r="64" spans="1:22">
      <c r="A64">
        <v>63</v>
      </c>
      <c r="B64" t="s">
        <v>81</v>
      </c>
      <c r="C64" t="s">
        <v>276</v>
      </c>
      <c r="D64" t="s">
        <v>418</v>
      </c>
      <c r="I64">
        <v>5000</v>
      </c>
      <c r="K64" t="s">
        <v>486</v>
      </c>
      <c r="L64">
        <f>HYPERLINK("https://maps.cookcountyil.gov/cookviewer/?search=1730 W FULLERTON AVE", "1730 W FULLERTON AVE")</f>
        <v>0</v>
      </c>
      <c r="N64" t="s">
        <v>616</v>
      </c>
      <c r="P64" t="s">
        <v>675</v>
      </c>
      <c r="Q64" t="s">
        <v>861</v>
      </c>
      <c r="U64">
        <f>HYPERLINK("https://www.cookcountyassessoril.gov/pin/14304000640000", "14-30-400-064-0000")</f>
        <v>0</v>
      </c>
      <c r="V64" t="s">
        <v>990</v>
      </c>
    </row>
    <row r="65" spans="1:22">
      <c r="A65">
        <v>64</v>
      </c>
      <c r="B65" t="s">
        <v>82</v>
      </c>
      <c r="C65" t="s">
        <v>277</v>
      </c>
      <c r="D65" t="s">
        <v>414</v>
      </c>
      <c r="I65">
        <v>12350</v>
      </c>
      <c r="K65" t="s">
        <v>487</v>
      </c>
      <c r="L65">
        <f>HYPERLINK("https://maps.cookcountyil.gov/cookviewer/?search=3846 N BERNARD ST", "3846 N BERNARD ST")</f>
        <v>0</v>
      </c>
      <c r="N65" t="s">
        <v>616</v>
      </c>
      <c r="P65" t="s">
        <v>676</v>
      </c>
      <c r="Q65" t="s">
        <v>862</v>
      </c>
      <c r="U65" t="s">
        <v>989</v>
      </c>
      <c r="V65" t="s">
        <v>990</v>
      </c>
    </row>
    <row r="66" spans="1:22">
      <c r="A66">
        <v>65</v>
      </c>
      <c r="B66" t="s">
        <v>83</v>
      </c>
      <c r="C66" t="s">
        <v>278</v>
      </c>
      <c r="D66" t="s">
        <v>420</v>
      </c>
      <c r="I66">
        <v>5000</v>
      </c>
      <c r="K66" t="s">
        <v>488</v>
      </c>
      <c r="L66">
        <f>HYPERLINK("https://maps.cookcountyil.gov/cookviewer/?search=312 N CENTRAL AVE", "312 N CENTRAL AVE")</f>
        <v>0</v>
      </c>
      <c r="N66" t="s">
        <v>616</v>
      </c>
      <c r="P66" t="s">
        <v>677</v>
      </c>
      <c r="Q66" t="s">
        <v>863</v>
      </c>
      <c r="U66" t="s">
        <v>989</v>
      </c>
      <c r="V66" t="s">
        <v>990</v>
      </c>
    </row>
    <row r="67" spans="1:22">
      <c r="A67">
        <v>66</v>
      </c>
      <c r="B67" t="s">
        <v>84</v>
      </c>
      <c r="C67" t="s">
        <v>279</v>
      </c>
      <c r="D67" t="s">
        <v>415</v>
      </c>
      <c r="I67">
        <v>1600</v>
      </c>
      <c r="K67" t="s">
        <v>489</v>
      </c>
      <c r="L67">
        <f>HYPERLINK("https://maps.cookcountyil.gov/cookviewer/?search=7446 S DR MARTIN LUTHER KING JR DR", "7446 S DR MARTIN LUTHER KING JR DR")</f>
        <v>0</v>
      </c>
      <c r="N67" t="s">
        <v>616</v>
      </c>
      <c r="P67" t="s">
        <v>678</v>
      </c>
      <c r="Q67" t="s">
        <v>864</v>
      </c>
      <c r="U67" t="s">
        <v>989</v>
      </c>
      <c r="V67" t="s">
        <v>990</v>
      </c>
    </row>
    <row r="68" spans="1:22">
      <c r="A68">
        <v>67</v>
      </c>
      <c r="B68" t="s">
        <v>85</v>
      </c>
      <c r="C68" t="s">
        <v>280</v>
      </c>
      <c r="D68" t="s">
        <v>416</v>
      </c>
      <c r="I68">
        <v>369401</v>
      </c>
      <c r="K68" t="s">
        <v>490</v>
      </c>
      <c r="L68">
        <f>HYPERLINK("https://maps.cookcountyil.gov/cookviewer/?search=210 S DESPLAINES ST", "210 S DESPLAINES ST")</f>
        <v>0</v>
      </c>
      <c r="N68" t="s">
        <v>616</v>
      </c>
      <c r="P68" t="s">
        <v>679</v>
      </c>
      <c r="Q68" t="s">
        <v>865</v>
      </c>
      <c r="U68">
        <f>HYPERLINK("https://www.cookcountyassessoril.gov/pin/17161090300000", "17-16-109-030-0000"), =HYPERLINK("https://www.cookcountyassessoril.gov/pin/17161090290000", "17-16-109-029-0000"), =HYPERLINK("https://www.cookcountyassessoril.gov/pin/17161090280000", "17-16-109-028-0000")</f>
        <v>0</v>
      </c>
      <c r="V68" t="s">
        <v>990</v>
      </c>
    </row>
    <row r="69" spans="1:22">
      <c r="A69">
        <v>68</v>
      </c>
      <c r="B69" t="s">
        <v>86</v>
      </c>
      <c r="C69" t="s">
        <v>281</v>
      </c>
      <c r="D69" t="s">
        <v>418</v>
      </c>
      <c r="I69">
        <v>29965</v>
      </c>
      <c r="K69" t="s">
        <v>491</v>
      </c>
      <c r="L69">
        <f>HYPERLINK("https://maps.cookcountyil.gov/cookviewer/?search=5123 N CHESTER AVE", "5123 N CHESTER AVE")</f>
        <v>0</v>
      </c>
      <c r="N69" t="s">
        <v>616</v>
      </c>
      <c r="P69" t="s">
        <v>680</v>
      </c>
      <c r="Q69" t="s">
        <v>866</v>
      </c>
      <c r="U69">
        <f>HYPERLINK("https://www.cookcountyassessoril.gov/pin/12113010250000", "12-11-301-025-0000")</f>
        <v>0</v>
      </c>
      <c r="V69" t="s">
        <v>991</v>
      </c>
    </row>
    <row r="70" spans="1:22">
      <c r="A70">
        <v>69</v>
      </c>
      <c r="B70" t="s">
        <v>87</v>
      </c>
      <c r="C70" t="s">
        <v>282</v>
      </c>
      <c r="D70" t="s">
        <v>420</v>
      </c>
      <c r="I70">
        <v>32098</v>
      </c>
      <c r="K70" t="s">
        <v>492</v>
      </c>
      <c r="L70">
        <f>HYPERLINK("https://maps.cookcountyil.gov/cookviewer/?search=7916 S INDIANA AVE", "7916 S INDIANA AVE")</f>
        <v>0</v>
      </c>
      <c r="N70" t="s">
        <v>616</v>
      </c>
      <c r="P70" t="s">
        <v>681</v>
      </c>
      <c r="Q70" t="s">
        <v>867</v>
      </c>
      <c r="U70">
        <f>HYPERLINK("https://www.cookcountyassessoril.gov/pin/20341020260000", "20-34-102-026-0000")</f>
        <v>0</v>
      </c>
      <c r="V70" t="s">
        <v>991</v>
      </c>
    </row>
    <row r="71" spans="1:22">
      <c r="A71">
        <v>70</v>
      </c>
      <c r="B71" t="s">
        <v>88</v>
      </c>
      <c r="C71" t="s">
        <v>283</v>
      </c>
      <c r="D71" t="s">
        <v>414</v>
      </c>
      <c r="I71">
        <v>100</v>
      </c>
      <c r="K71" t="s">
        <v>493</v>
      </c>
      <c r="L71">
        <f>HYPERLINK("https://maps.cookcountyil.gov/cookviewer/?search=9240 S GREENWOOD AVE", "9240 S GREENWOOD AVE")</f>
        <v>0</v>
      </c>
      <c r="N71" t="s">
        <v>616</v>
      </c>
      <c r="P71" t="s">
        <v>682</v>
      </c>
      <c r="Q71" t="s">
        <v>868</v>
      </c>
      <c r="U71">
        <f>HYPERLINK("https://www.cookcountyassessoril.gov/pin/25023120330000", "25-02-312-033-0000")</f>
        <v>0</v>
      </c>
      <c r="V71" t="s">
        <v>991</v>
      </c>
    </row>
    <row r="72" spans="1:22">
      <c r="A72">
        <v>71</v>
      </c>
      <c r="B72" t="s">
        <v>89</v>
      </c>
      <c r="C72" t="s">
        <v>284</v>
      </c>
      <c r="D72" t="s">
        <v>416</v>
      </c>
      <c r="I72">
        <v>4674</v>
      </c>
      <c r="K72" t="s">
        <v>494</v>
      </c>
      <c r="L72">
        <f>HYPERLINK("https://maps.cookcountyil.gov/cookviewer/?search=10836 S GREEN BAY AVE", "10836 S GREEN BAY AVE")</f>
        <v>0</v>
      </c>
      <c r="N72" t="s">
        <v>616</v>
      </c>
      <c r="P72" t="s">
        <v>683</v>
      </c>
      <c r="Q72" t="s">
        <v>869</v>
      </c>
      <c r="U72">
        <f>HYPERLINK("https://www.cookcountyassessoril.gov/pin/26182130770000", "26-18-213-077-0000")</f>
        <v>0</v>
      </c>
      <c r="V72" t="s">
        <v>991</v>
      </c>
    </row>
    <row r="73" spans="1:22">
      <c r="A73">
        <v>72</v>
      </c>
      <c r="B73" t="s">
        <v>90</v>
      </c>
      <c r="C73" t="s">
        <v>285</v>
      </c>
      <c r="D73" t="s">
        <v>416</v>
      </c>
      <c r="I73">
        <v>33250</v>
      </c>
      <c r="K73" t="s">
        <v>495</v>
      </c>
      <c r="L73">
        <f>HYPERLINK("https://maps.cookcountyil.gov/cookviewer/?search=8145 S DORCHESTER AVE", "8145 S DORCHESTER AVE")</f>
        <v>0</v>
      </c>
      <c r="N73" t="s">
        <v>616</v>
      </c>
      <c r="P73" t="s">
        <v>684</v>
      </c>
      <c r="Q73" t="s">
        <v>870</v>
      </c>
      <c r="U73">
        <f>HYPERLINK("https://www.cookcountyassessoril.gov/pin/20352200140000", "20-35-220-014-0000")</f>
        <v>0</v>
      </c>
      <c r="V73" t="s">
        <v>991</v>
      </c>
    </row>
    <row r="74" spans="1:22">
      <c r="A74">
        <v>73</v>
      </c>
      <c r="B74" t="s">
        <v>91</v>
      </c>
      <c r="C74" t="s">
        <v>286</v>
      </c>
      <c r="D74" t="s">
        <v>414</v>
      </c>
      <c r="I74">
        <v>4400</v>
      </c>
      <c r="K74" t="s">
        <v>496</v>
      </c>
      <c r="L74">
        <f>HYPERLINK("https://maps.cookcountyil.gov/cookviewer/?search=2843 N WOLCOTT AVE", "2843 N WOLCOTT AVE")</f>
        <v>0</v>
      </c>
      <c r="N74" t="s">
        <v>616</v>
      </c>
      <c r="P74" t="s">
        <v>685</v>
      </c>
      <c r="Q74" t="s">
        <v>871</v>
      </c>
      <c r="U74" t="s">
        <v>989</v>
      </c>
      <c r="V74" t="s">
        <v>990</v>
      </c>
    </row>
    <row r="75" spans="1:22">
      <c r="A75">
        <v>74</v>
      </c>
      <c r="B75" t="s">
        <v>92</v>
      </c>
      <c r="C75" t="s">
        <v>287</v>
      </c>
      <c r="D75" t="s">
        <v>414</v>
      </c>
      <c r="I75">
        <v>50220</v>
      </c>
      <c r="K75" t="s">
        <v>497</v>
      </c>
      <c r="L75">
        <f>HYPERLINK("https://maps.cookcountyil.gov/cookviewer/?search=2643 N MARSHFIELD AVE", "2643 N MARSHFIELD AVE")</f>
        <v>0</v>
      </c>
      <c r="N75" t="s">
        <v>616</v>
      </c>
      <c r="P75" t="s">
        <v>686</v>
      </c>
      <c r="Q75" t="s">
        <v>872</v>
      </c>
      <c r="U75">
        <f>HYPERLINK("https://www.cookcountyassessoril.gov/pin/14304050250000", "14-30-405-025-0000")</f>
        <v>0</v>
      </c>
      <c r="V75" t="s">
        <v>991</v>
      </c>
    </row>
    <row r="76" spans="1:22">
      <c r="A76">
        <v>75</v>
      </c>
      <c r="B76" t="s">
        <v>93</v>
      </c>
      <c r="C76" t="s">
        <v>288</v>
      </c>
      <c r="D76" t="s">
        <v>416</v>
      </c>
      <c r="I76">
        <v>22200</v>
      </c>
      <c r="K76" t="s">
        <v>498</v>
      </c>
      <c r="L76">
        <f>HYPERLINK("https://maps.cookcountyil.gov/cookviewer/?search=11300 S LOOMIS ST", "11300 S LOOMIS ST")</f>
        <v>0</v>
      </c>
      <c r="N76" t="s">
        <v>616</v>
      </c>
      <c r="P76" t="s">
        <v>687</v>
      </c>
      <c r="Q76" t="s">
        <v>873</v>
      </c>
      <c r="U76">
        <f>HYPERLINK("https://www.cookcountyassessoril.gov/pin/25201140550000", "25-20-114-055-0000")</f>
        <v>0</v>
      </c>
      <c r="V76" t="s">
        <v>991</v>
      </c>
    </row>
    <row r="77" spans="1:22">
      <c r="A77">
        <v>76</v>
      </c>
      <c r="B77" t="s">
        <v>94</v>
      </c>
      <c r="C77" t="s">
        <v>289</v>
      </c>
      <c r="D77" t="s">
        <v>413</v>
      </c>
      <c r="I77">
        <v>58211</v>
      </c>
      <c r="K77" t="s">
        <v>499</v>
      </c>
      <c r="L77">
        <f>HYPERLINK("https://maps.cookcountyil.gov/cookviewer/?search=2044 W THOMAS ST", "2044 W THOMAS ST")</f>
        <v>0</v>
      </c>
      <c r="N77" t="s">
        <v>616</v>
      </c>
      <c r="P77" t="s">
        <v>688</v>
      </c>
      <c r="Q77" t="s">
        <v>874</v>
      </c>
      <c r="U77">
        <f>HYPERLINK("https://www.cookcountyassessoril.gov/pin/17063070260000", "17-06-307-026-0000")</f>
        <v>0</v>
      </c>
      <c r="V77" t="s">
        <v>991</v>
      </c>
    </row>
    <row r="78" spans="1:22">
      <c r="A78">
        <v>77</v>
      </c>
      <c r="B78" t="s">
        <v>95</v>
      </c>
      <c r="C78" t="s">
        <v>290</v>
      </c>
      <c r="D78" t="s">
        <v>424</v>
      </c>
      <c r="I78">
        <v>130000</v>
      </c>
      <c r="K78" t="s">
        <v>500</v>
      </c>
      <c r="L78">
        <f>HYPERLINK("https://maps.cookcountyil.gov/cookviewer/?search=4822 S COTTAGE GROVE AVE", "4822 S COTTAGE GROVE AVE")</f>
        <v>0</v>
      </c>
      <c r="N78" t="s">
        <v>616</v>
      </c>
      <c r="P78" t="s">
        <v>689</v>
      </c>
      <c r="Q78" t="s">
        <v>875</v>
      </c>
      <c r="U78" t="s">
        <v>989</v>
      </c>
      <c r="V78" t="s">
        <v>990</v>
      </c>
    </row>
    <row r="79" spans="1:22">
      <c r="A79">
        <v>78</v>
      </c>
      <c r="B79" t="s">
        <v>96</v>
      </c>
      <c r="C79" t="s">
        <v>291</v>
      </c>
      <c r="D79" t="s">
        <v>413</v>
      </c>
      <c r="I79">
        <v>5108</v>
      </c>
      <c r="K79" t="s">
        <v>501</v>
      </c>
      <c r="L79">
        <f>HYPERLINK("https://maps.cookcountyil.gov/cookviewer/?search=2301 W FARRAGUT AVE", "2301 W FARRAGUT AVE")</f>
        <v>0</v>
      </c>
      <c r="N79" t="s">
        <v>616</v>
      </c>
      <c r="P79" t="s">
        <v>690</v>
      </c>
      <c r="Q79" t="s">
        <v>876</v>
      </c>
      <c r="U79">
        <f>HYPERLINK("https://www.cookcountyassessoril.gov/pin/14071140200000", "14-07-114-020-0000")</f>
        <v>0</v>
      </c>
      <c r="V79" t="s">
        <v>990</v>
      </c>
    </row>
    <row r="80" spans="1:22">
      <c r="A80">
        <v>79</v>
      </c>
      <c r="B80" t="s">
        <v>97</v>
      </c>
      <c r="C80" t="s">
        <v>292</v>
      </c>
      <c r="D80" t="s">
        <v>416</v>
      </c>
      <c r="I80">
        <v>12000</v>
      </c>
      <c r="K80" t="s">
        <v>502</v>
      </c>
      <c r="L80">
        <f>HYPERLINK("https://maps.cookcountyil.gov/cookviewer/?search=2949 W ADAMS ST", "2949 W ADAMS ST")</f>
        <v>0</v>
      </c>
      <c r="N80" t="s">
        <v>616</v>
      </c>
      <c r="P80" t="s">
        <v>691</v>
      </c>
      <c r="Q80" t="s">
        <v>877</v>
      </c>
      <c r="U80">
        <f>HYPERLINK("https://www.cookcountyassessoril.gov/pin/16131160050000", "16-13-116-005-0000")</f>
        <v>0</v>
      </c>
      <c r="V80" t="s">
        <v>990</v>
      </c>
    </row>
    <row r="81" spans="1:22">
      <c r="A81">
        <v>80</v>
      </c>
      <c r="B81" t="s">
        <v>98</v>
      </c>
      <c r="C81" t="s">
        <v>293</v>
      </c>
      <c r="D81" t="s">
        <v>420</v>
      </c>
      <c r="I81">
        <v>26000</v>
      </c>
      <c r="K81" t="s">
        <v>503</v>
      </c>
      <c r="L81">
        <f>HYPERLINK("https://maps.cookcountyil.gov/cookviewer/?search=65 E GOETHE ST", "65 E GOETHE ST")</f>
        <v>0</v>
      </c>
      <c r="N81" t="s">
        <v>616</v>
      </c>
      <c r="P81" t="s">
        <v>692</v>
      </c>
      <c r="Q81" t="s">
        <v>878</v>
      </c>
      <c r="U81" t="s">
        <v>989</v>
      </c>
      <c r="V81" t="s">
        <v>990</v>
      </c>
    </row>
    <row r="82" spans="1:22">
      <c r="A82">
        <v>81</v>
      </c>
      <c r="B82" t="s">
        <v>99</v>
      </c>
      <c r="C82" t="s">
        <v>294</v>
      </c>
      <c r="D82" t="s">
        <v>417</v>
      </c>
      <c r="I82">
        <v>4750</v>
      </c>
      <c r="K82" t="s">
        <v>504</v>
      </c>
      <c r="L82">
        <f>HYPERLINK("https://maps.cookcountyil.gov/cookviewer/?search=4316 N KILDARE AVE", "4316 N KILDARE AVE")</f>
        <v>0</v>
      </c>
      <c r="N82" t="s">
        <v>616</v>
      </c>
      <c r="P82" t="s">
        <v>693</v>
      </c>
      <c r="Q82" t="s">
        <v>879</v>
      </c>
      <c r="U82">
        <f>HYPERLINK("https://www.cookcountyassessoril.gov/pin/13154000260000", "13-15-400-026-0000")</f>
        <v>0</v>
      </c>
      <c r="V82" t="s">
        <v>990</v>
      </c>
    </row>
    <row r="83" spans="1:22">
      <c r="A83">
        <v>82</v>
      </c>
      <c r="B83" t="s">
        <v>100</v>
      </c>
      <c r="C83" t="s">
        <v>295</v>
      </c>
      <c r="D83" t="s">
        <v>421</v>
      </c>
      <c r="I83">
        <v>9500</v>
      </c>
      <c r="K83" t="s">
        <v>505</v>
      </c>
      <c r="L83">
        <f>HYPERLINK("https://maps.cookcountyil.gov/cookviewer/?search=3035 W FULLERTON AVE", "3035 W FULLERTON AVE")</f>
        <v>0</v>
      </c>
      <c r="N83" t="s">
        <v>616</v>
      </c>
      <c r="P83" t="s">
        <v>694</v>
      </c>
      <c r="Q83" t="s">
        <v>880</v>
      </c>
      <c r="U83">
        <f>HYPERLINK("https://www.cookcountyassessoril.gov/pin/13361010050000", "13-36-101-005-0000")</f>
        <v>0</v>
      </c>
      <c r="V83" t="s">
        <v>990</v>
      </c>
    </row>
    <row r="84" spans="1:22">
      <c r="A84">
        <v>83</v>
      </c>
      <c r="B84" t="s">
        <v>101</v>
      </c>
      <c r="C84" t="s">
        <v>296</v>
      </c>
      <c r="D84" t="s">
        <v>418</v>
      </c>
      <c r="I84">
        <v>5000</v>
      </c>
      <c r="K84" t="s">
        <v>506</v>
      </c>
      <c r="L84">
        <f>HYPERLINK("https://maps.cookcountyil.gov/cookviewer/?search=1050 W VAN BUREN ST", "1050 W VAN BUREN ST")</f>
        <v>0</v>
      </c>
      <c r="N84" t="s">
        <v>616</v>
      </c>
      <c r="P84" t="s">
        <v>695</v>
      </c>
      <c r="Q84" t="s">
        <v>881</v>
      </c>
      <c r="U84" t="s">
        <v>989</v>
      </c>
      <c r="V84" t="s">
        <v>990</v>
      </c>
    </row>
    <row r="85" spans="1:22">
      <c r="A85">
        <v>84</v>
      </c>
      <c r="B85" t="s">
        <v>102</v>
      </c>
      <c r="C85" t="s">
        <v>297</v>
      </c>
      <c r="D85" t="s">
        <v>411</v>
      </c>
      <c r="I85">
        <v>2500</v>
      </c>
      <c r="K85" t="s">
        <v>507</v>
      </c>
      <c r="L85">
        <f>HYPERLINK("https://maps.cookcountyil.gov/cookviewer/?search=2746 W FULLERTON AVE", "2746 W FULLERTON AVE")</f>
        <v>0</v>
      </c>
      <c r="N85" t="s">
        <v>616</v>
      </c>
      <c r="P85" t="s">
        <v>696</v>
      </c>
      <c r="Q85" t="s">
        <v>882</v>
      </c>
      <c r="U85">
        <f>HYPERLINK("https://www.cookcountyassessoril.gov/pin/13254240310000", "13-25-424-031-0000")</f>
        <v>0</v>
      </c>
      <c r="V85" t="s">
        <v>990</v>
      </c>
    </row>
    <row r="86" spans="1:22">
      <c r="A86">
        <v>85</v>
      </c>
      <c r="B86" t="s">
        <v>103</v>
      </c>
      <c r="C86" t="s">
        <v>298</v>
      </c>
      <c r="D86" t="s">
        <v>420</v>
      </c>
      <c r="I86">
        <v>1500</v>
      </c>
      <c r="K86" t="s">
        <v>508</v>
      </c>
      <c r="L86">
        <f>HYPERLINK("https://maps.cookcountyil.gov/cookviewer/?search=3100 W DOUGLAS BLVD", "3100 W DOUGLAS BLVD")</f>
        <v>0</v>
      </c>
      <c r="N86" t="s">
        <v>616</v>
      </c>
      <c r="P86" t="s">
        <v>697</v>
      </c>
      <c r="Q86" t="s">
        <v>883</v>
      </c>
      <c r="U86">
        <f>HYPERLINK("https://www.cookcountyassessoril.gov/pin/16241030390000", "16-24-103-039-0000")</f>
        <v>0</v>
      </c>
      <c r="V86" t="s">
        <v>990</v>
      </c>
    </row>
    <row r="87" spans="1:22">
      <c r="A87">
        <v>86</v>
      </c>
      <c r="B87" t="s">
        <v>104</v>
      </c>
      <c r="C87" t="s">
        <v>299</v>
      </c>
      <c r="D87" t="s">
        <v>420</v>
      </c>
      <c r="I87">
        <v>23479</v>
      </c>
      <c r="K87" t="s">
        <v>509</v>
      </c>
      <c r="L87">
        <f>HYPERLINK("https://maps.cookcountyil.gov/cookviewer/?search=5640 S MOZART ST", "5640 S MOZART ST")</f>
        <v>0</v>
      </c>
      <c r="N87" t="s">
        <v>616</v>
      </c>
      <c r="P87" t="s">
        <v>698</v>
      </c>
      <c r="Q87" t="s">
        <v>884</v>
      </c>
      <c r="U87">
        <f>HYPERLINK("https://www.cookcountyassessoril.gov/pin/19131140290000", "19-13-114-029-0000")</f>
        <v>0</v>
      </c>
      <c r="V87" t="s">
        <v>990</v>
      </c>
    </row>
    <row r="88" spans="1:22">
      <c r="A88">
        <v>87</v>
      </c>
      <c r="B88" t="s">
        <v>105</v>
      </c>
      <c r="C88" t="s">
        <v>300</v>
      </c>
      <c r="D88" t="s">
        <v>420</v>
      </c>
      <c r="I88">
        <v>30000</v>
      </c>
      <c r="K88" t="s">
        <v>510</v>
      </c>
      <c r="L88">
        <f>HYPERLINK("https://maps.cookcountyil.gov/cookviewer/?search=1701 W FULTON ST", "1701 W FULTON ST")</f>
        <v>0</v>
      </c>
      <c r="N88" t="s">
        <v>616</v>
      </c>
      <c r="P88" t="s">
        <v>699</v>
      </c>
      <c r="Q88" t="s">
        <v>885</v>
      </c>
      <c r="U88">
        <f>HYPERLINK("https://www.cookcountyassessoril.gov/pin/17074100170000", "17-07-410-017-0000")</f>
        <v>0</v>
      </c>
      <c r="V88" t="s">
        <v>990</v>
      </c>
    </row>
    <row r="89" spans="1:22">
      <c r="A89">
        <v>88</v>
      </c>
      <c r="B89" t="s">
        <v>106</v>
      </c>
      <c r="C89" t="s">
        <v>301</v>
      </c>
      <c r="D89" t="s">
        <v>413</v>
      </c>
      <c r="I89">
        <v>8000</v>
      </c>
      <c r="K89" t="s">
        <v>511</v>
      </c>
      <c r="L89">
        <f>HYPERLINK("https://maps.cookcountyil.gov/cookviewer/?search=2126 W THOMAS ST", "2126 W THOMAS ST")</f>
        <v>0</v>
      </c>
      <c r="N89" t="s">
        <v>616</v>
      </c>
      <c r="P89" t="s">
        <v>700</v>
      </c>
      <c r="Q89" t="s">
        <v>886</v>
      </c>
      <c r="U89">
        <f>HYPERLINK("https://www.cookcountyassessoril.gov/pin/17063060300000", "17-06-306-030-0000")</f>
        <v>0</v>
      </c>
      <c r="V89" t="s">
        <v>990</v>
      </c>
    </row>
    <row r="90" spans="1:22">
      <c r="A90">
        <v>89</v>
      </c>
      <c r="B90" t="s">
        <v>107</v>
      </c>
      <c r="C90" t="s">
        <v>302</v>
      </c>
      <c r="D90" t="s">
        <v>416</v>
      </c>
      <c r="I90">
        <v>5700</v>
      </c>
      <c r="K90" t="s">
        <v>512</v>
      </c>
      <c r="L90">
        <f>HYPERLINK("https://maps.cookcountyil.gov/cookviewer/?search=10614 S EBERHART AVE", "10614 S EBERHART AVE")</f>
        <v>0</v>
      </c>
      <c r="N90" t="s">
        <v>616</v>
      </c>
      <c r="P90" t="s">
        <v>701</v>
      </c>
      <c r="Q90" t="s">
        <v>887</v>
      </c>
      <c r="U90">
        <f>HYPERLINK("https://www.cookcountyassessoril.gov/pin/25152240200000", "25-15-224-020-0000")</f>
        <v>0</v>
      </c>
      <c r="V90" t="s">
        <v>990</v>
      </c>
    </row>
    <row r="91" spans="1:22">
      <c r="A91">
        <v>90</v>
      </c>
      <c r="B91" t="s">
        <v>108</v>
      </c>
      <c r="C91" t="s">
        <v>303</v>
      </c>
      <c r="D91" t="s">
        <v>419</v>
      </c>
      <c r="I91">
        <v>5000</v>
      </c>
      <c r="K91" t="s">
        <v>513</v>
      </c>
      <c r="L91">
        <f>HYPERLINK("https://maps.cookcountyil.gov/cookviewer/?search=10500 S WOODLAWN AVE", "10500 S WOODLAWN AVE")</f>
        <v>0</v>
      </c>
      <c r="N91" t="s">
        <v>616</v>
      </c>
      <c r="P91" t="s">
        <v>702</v>
      </c>
      <c r="Q91" t="s">
        <v>888</v>
      </c>
      <c r="U91" t="s">
        <v>989</v>
      </c>
      <c r="V91" t="s">
        <v>990</v>
      </c>
    </row>
    <row r="92" spans="1:22">
      <c r="A92">
        <v>91</v>
      </c>
      <c r="B92" t="s">
        <v>109</v>
      </c>
      <c r="C92" t="s">
        <v>303</v>
      </c>
      <c r="D92" t="s">
        <v>419</v>
      </c>
      <c r="I92">
        <v>5000</v>
      </c>
      <c r="K92" t="s">
        <v>513</v>
      </c>
      <c r="L92">
        <f>HYPERLINK("https://maps.cookcountyil.gov/cookviewer/?search=10500 S WOODLAWN AVE", "10500 S WOODLAWN AVE")</f>
        <v>0</v>
      </c>
      <c r="N92" t="s">
        <v>616</v>
      </c>
      <c r="P92" t="s">
        <v>702</v>
      </c>
      <c r="Q92" t="s">
        <v>888</v>
      </c>
      <c r="U92" t="s">
        <v>989</v>
      </c>
      <c r="V92" t="s">
        <v>990</v>
      </c>
    </row>
    <row r="93" spans="1:22">
      <c r="A93">
        <v>92</v>
      </c>
      <c r="B93" t="s">
        <v>110</v>
      </c>
      <c r="C93" t="s">
        <v>304</v>
      </c>
      <c r="D93" t="s">
        <v>418</v>
      </c>
      <c r="I93">
        <v>4500</v>
      </c>
      <c r="K93" t="s">
        <v>514</v>
      </c>
      <c r="L93">
        <f>HYPERLINK("https://maps.cookcountyil.gov/cookviewer/?search=4020 W CORNELIA AVE", "4020 W CORNELIA AVE")</f>
        <v>0</v>
      </c>
      <c r="N93" t="s">
        <v>616</v>
      </c>
      <c r="P93" t="s">
        <v>703</v>
      </c>
      <c r="Q93" t="s">
        <v>889</v>
      </c>
      <c r="U93" t="s">
        <v>989</v>
      </c>
      <c r="V93" t="s">
        <v>990</v>
      </c>
    </row>
    <row r="94" spans="1:22">
      <c r="A94">
        <v>93</v>
      </c>
      <c r="B94" t="s">
        <v>111</v>
      </c>
      <c r="C94" t="s">
        <v>305</v>
      </c>
      <c r="D94" t="s">
        <v>416</v>
      </c>
      <c r="I94">
        <v>8757</v>
      </c>
      <c r="K94" t="s">
        <v>515</v>
      </c>
      <c r="L94">
        <f>HYPERLINK("https://maps.cookcountyil.gov/cookviewer/?search=2762 W WILSON AVE", "2762 W WILSON AVE")</f>
        <v>0</v>
      </c>
      <c r="N94" t="s">
        <v>616</v>
      </c>
      <c r="P94" t="s">
        <v>704</v>
      </c>
      <c r="Q94" t="s">
        <v>890</v>
      </c>
      <c r="U94">
        <f>HYPERLINK("https://www.cookcountyassessoril.gov/pin/13131160200000", "13-13-116-020-0000")</f>
        <v>0</v>
      </c>
      <c r="V94" t="s">
        <v>991</v>
      </c>
    </row>
    <row r="95" spans="1:22">
      <c r="A95">
        <v>94</v>
      </c>
      <c r="B95" t="s">
        <v>112</v>
      </c>
      <c r="C95" t="s">
        <v>306</v>
      </c>
      <c r="D95" t="s">
        <v>413</v>
      </c>
      <c r="I95">
        <v>25802</v>
      </c>
      <c r="K95" t="s">
        <v>516</v>
      </c>
      <c r="L95">
        <f>HYPERLINK("https://maps.cookcountyil.gov/cookviewer/?search=4342 S MOZART ST", "4342 S MOZART ST")</f>
        <v>0</v>
      </c>
      <c r="N95" t="s">
        <v>616</v>
      </c>
      <c r="P95" t="s">
        <v>705</v>
      </c>
      <c r="Q95" t="s">
        <v>891</v>
      </c>
      <c r="U95">
        <f>HYPERLINK("https://www.cookcountyassessoril.gov/pin/19013070400000", "19-01-307-040-0000")</f>
        <v>0</v>
      </c>
      <c r="V95" t="s">
        <v>990</v>
      </c>
    </row>
    <row r="96" spans="1:22">
      <c r="A96">
        <v>95</v>
      </c>
      <c r="B96" t="s">
        <v>113</v>
      </c>
      <c r="C96" t="s">
        <v>307</v>
      </c>
      <c r="D96" t="s">
        <v>424</v>
      </c>
      <c r="I96">
        <v>100</v>
      </c>
      <c r="K96" t="s">
        <v>517</v>
      </c>
      <c r="L96">
        <f>HYPERLINK("https://maps.cookcountyil.gov/cookviewer/?search=3940 W GRAND AVE", "3940 W GRAND AVE")</f>
        <v>0</v>
      </c>
      <c r="N96" t="s">
        <v>616</v>
      </c>
      <c r="P96" t="s">
        <v>706</v>
      </c>
      <c r="Q96" t="s">
        <v>892</v>
      </c>
      <c r="U96" t="s">
        <v>989</v>
      </c>
      <c r="V96" t="s">
        <v>990</v>
      </c>
    </row>
    <row r="97" spans="1:22">
      <c r="A97">
        <v>96</v>
      </c>
      <c r="B97" t="s">
        <v>114</v>
      </c>
      <c r="C97" t="s">
        <v>308</v>
      </c>
      <c r="D97" t="s">
        <v>416</v>
      </c>
      <c r="I97">
        <v>9900</v>
      </c>
      <c r="K97" t="s">
        <v>518</v>
      </c>
      <c r="L97">
        <f>HYPERLINK("https://maps.cookcountyil.gov/cookviewer/?search=5254 S KNOX AVE", "5254 S KNOX AVE")</f>
        <v>0</v>
      </c>
      <c r="N97" t="s">
        <v>616</v>
      </c>
      <c r="P97" t="s">
        <v>707</v>
      </c>
      <c r="Q97" t="s">
        <v>893</v>
      </c>
      <c r="U97">
        <f>HYPERLINK("https://www.cookcountyassessoril.gov/pin/19103120490000", "19-10-312-049-0000")</f>
        <v>0</v>
      </c>
      <c r="V97" t="s">
        <v>990</v>
      </c>
    </row>
    <row r="98" spans="1:22">
      <c r="A98">
        <v>97</v>
      </c>
      <c r="B98" t="s">
        <v>115</v>
      </c>
      <c r="C98" t="s">
        <v>309</v>
      </c>
      <c r="D98" t="s">
        <v>414</v>
      </c>
      <c r="I98">
        <v>2700</v>
      </c>
      <c r="K98" t="s">
        <v>519</v>
      </c>
      <c r="L98">
        <f>HYPERLINK("https://maps.cookcountyil.gov/cookviewer/?search=5501 N LINCOLN AVE", "5501 N LINCOLN AVE")</f>
        <v>0</v>
      </c>
      <c r="N98" t="s">
        <v>616</v>
      </c>
      <c r="P98" t="s">
        <v>708</v>
      </c>
      <c r="Q98" t="s">
        <v>894</v>
      </c>
      <c r="U98">
        <f>HYPERLINK("https://www.cookcountyassessoril.gov/pin/13122070220000", "13-12-207-022-0000")</f>
        <v>0</v>
      </c>
      <c r="V98" t="s">
        <v>990</v>
      </c>
    </row>
    <row r="99" spans="1:22">
      <c r="A99">
        <v>98</v>
      </c>
      <c r="B99" t="s">
        <v>116</v>
      </c>
      <c r="C99" t="s">
        <v>310</v>
      </c>
      <c r="D99" t="s">
        <v>422</v>
      </c>
      <c r="I99">
        <v>5000</v>
      </c>
      <c r="K99" t="s">
        <v>520</v>
      </c>
      <c r="L99">
        <f>HYPERLINK("https://maps.cookcountyil.gov/cookviewer/?search=167 N SANGAMON ST", "167 N SANGAMON ST")</f>
        <v>0</v>
      </c>
      <c r="N99" t="s">
        <v>616</v>
      </c>
      <c r="P99" t="s">
        <v>709</v>
      </c>
      <c r="Q99" t="s">
        <v>895</v>
      </c>
      <c r="U99" t="s">
        <v>989</v>
      </c>
      <c r="V99" t="s">
        <v>990</v>
      </c>
    </row>
    <row r="100" spans="1:22">
      <c r="A100">
        <v>99</v>
      </c>
      <c r="B100" t="s">
        <v>117</v>
      </c>
      <c r="C100" t="s">
        <v>311</v>
      </c>
      <c r="D100" t="s">
        <v>417</v>
      </c>
      <c r="I100">
        <v>2500</v>
      </c>
      <c r="K100" t="s">
        <v>521</v>
      </c>
      <c r="L100">
        <f>HYPERLINK("https://maps.cookcountyil.gov/cookviewer/?search=5723 W ERIE ST", "5723 W ERIE ST")</f>
        <v>0</v>
      </c>
      <c r="N100" t="s">
        <v>616</v>
      </c>
      <c r="P100" t="s">
        <v>710</v>
      </c>
      <c r="Q100" t="s">
        <v>896</v>
      </c>
      <c r="U100">
        <f>HYPERLINK("https://www.cookcountyassessoril.gov/pin/16082130080000", "16-08-213-008-0000")</f>
        <v>0</v>
      </c>
      <c r="V100" t="s">
        <v>990</v>
      </c>
    </row>
    <row r="101" spans="1:22">
      <c r="A101">
        <v>100</v>
      </c>
      <c r="B101" t="s">
        <v>118</v>
      </c>
      <c r="C101" t="s">
        <v>312</v>
      </c>
      <c r="D101" t="s">
        <v>417</v>
      </c>
      <c r="I101">
        <v>30000</v>
      </c>
      <c r="K101" t="s">
        <v>522</v>
      </c>
      <c r="L101">
        <f>HYPERLINK("https://maps.cookcountyil.gov/cookviewer/?search=7006 S BELL AVE", "7006 S BELL AVE")</f>
        <v>0</v>
      </c>
      <c r="N101" t="s">
        <v>616</v>
      </c>
      <c r="P101" t="s">
        <v>711</v>
      </c>
      <c r="Q101" t="s">
        <v>897</v>
      </c>
      <c r="U101">
        <f>HYPERLINK("https://www.cookcountyassessoril.gov/pin/20193330200000", "20-19-333-020-0000")</f>
        <v>0</v>
      </c>
      <c r="V101" t="s">
        <v>990</v>
      </c>
    </row>
    <row r="102" spans="1:22">
      <c r="A102">
        <v>101</v>
      </c>
      <c r="B102" t="s">
        <v>119</v>
      </c>
      <c r="C102" t="s">
        <v>313</v>
      </c>
      <c r="D102" t="s">
        <v>420</v>
      </c>
      <c r="I102">
        <v>1500</v>
      </c>
      <c r="K102" t="s">
        <v>523</v>
      </c>
      <c r="L102">
        <f>HYPERLINK("https://maps.cookcountyil.gov/cookviewer/?search=4239 N OAKLEY AVE", "4239 N OAKLEY AVE")</f>
        <v>0</v>
      </c>
      <c r="N102" t="s">
        <v>616</v>
      </c>
      <c r="P102" t="s">
        <v>712</v>
      </c>
      <c r="Q102" t="s">
        <v>898</v>
      </c>
      <c r="U102">
        <f>HYPERLINK("https://www.cookcountyassessoril.gov/pin/14183100130000", "14-18-310-013-0000")</f>
        <v>0</v>
      </c>
      <c r="V102" t="s">
        <v>990</v>
      </c>
    </row>
    <row r="103" spans="1:22">
      <c r="A103">
        <v>102</v>
      </c>
      <c r="B103" t="s">
        <v>120</v>
      </c>
      <c r="C103" t="s">
        <v>314</v>
      </c>
      <c r="D103" t="s">
        <v>414</v>
      </c>
      <c r="I103">
        <v>14489</v>
      </c>
      <c r="K103" t="s">
        <v>524</v>
      </c>
      <c r="L103">
        <f>HYPERLINK("https://maps.cookcountyil.gov/cookviewer/?search=1458 W CORTEZ ST", "1458 W CORTEZ ST")</f>
        <v>0</v>
      </c>
      <c r="N103" t="s">
        <v>616</v>
      </c>
      <c r="P103" t="s">
        <v>713</v>
      </c>
      <c r="Q103" t="s">
        <v>899</v>
      </c>
      <c r="U103">
        <f>HYPERLINK("https://www.cookcountyassessoril.gov/pin/17053080620000", "17-05-308-062-0000")</f>
        <v>0</v>
      </c>
      <c r="V103" t="s">
        <v>991</v>
      </c>
    </row>
    <row r="104" spans="1:22">
      <c r="A104">
        <v>103</v>
      </c>
      <c r="B104" t="s">
        <v>121</v>
      </c>
      <c r="C104" t="s">
        <v>315</v>
      </c>
      <c r="D104" t="s">
        <v>414</v>
      </c>
      <c r="I104">
        <v>3000</v>
      </c>
      <c r="K104" t="s">
        <v>525</v>
      </c>
      <c r="L104">
        <f>HYPERLINK("https://maps.cookcountyil.gov/cookviewer/?search=5344 W PATTERSON AVE", "5344 W PATTERSON AVE")</f>
        <v>0</v>
      </c>
      <c r="N104" t="s">
        <v>616</v>
      </c>
      <c r="P104" t="s">
        <v>714</v>
      </c>
      <c r="Q104" t="s">
        <v>900</v>
      </c>
      <c r="U104">
        <f>HYPERLINK("https://www.cookcountyassessoril.gov/pin/13211280240000", "13-21-128-024-0000")</f>
        <v>0</v>
      </c>
      <c r="V104" t="s">
        <v>990</v>
      </c>
    </row>
    <row r="105" spans="1:22">
      <c r="A105">
        <v>104</v>
      </c>
      <c r="B105" t="s">
        <v>122</v>
      </c>
      <c r="C105" t="s">
        <v>316</v>
      </c>
      <c r="D105" t="s">
        <v>417</v>
      </c>
      <c r="I105">
        <v>1200</v>
      </c>
      <c r="K105" t="s">
        <v>526</v>
      </c>
      <c r="L105">
        <f>HYPERLINK("https://maps.cookcountyil.gov/cookviewer/?search=400 E RANDOLPH ST", "400 E RANDOLPH ST")</f>
        <v>0</v>
      </c>
      <c r="N105" t="s">
        <v>616</v>
      </c>
      <c r="P105" t="s">
        <v>715</v>
      </c>
      <c r="Q105" t="s">
        <v>901</v>
      </c>
      <c r="U105">
        <f>HYPERLINK("https://www.cookcountyassessoril.gov/pin/17104000110000", "17-10-400-011-0000"), =HYPERLINK("https://www.cookcountyassessoril.gov/pin/17104030018002", "17-10-403-001-8002")</f>
        <v>0</v>
      </c>
      <c r="V105" t="s">
        <v>990</v>
      </c>
    </row>
    <row r="106" spans="1:22">
      <c r="A106">
        <v>105</v>
      </c>
      <c r="B106" t="s">
        <v>123</v>
      </c>
      <c r="C106" t="s">
        <v>317</v>
      </c>
      <c r="D106" t="s">
        <v>416</v>
      </c>
      <c r="I106">
        <v>1000</v>
      </c>
      <c r="K106" t="s">
        <v>527</v>
      </c>
      <c r="L106">
        <f>HYPERLINK("https://maps.cookcountyil.gov/cookviewer/?search=5429 S DREXEL AVE", "5429 S DREXEL AVE")</f>
        <v>0</v>
      </c>
      <c r="N106" t="s">
        <v>616</v>
      </c>
      <c r="P106" t="s">
        <v>716</v>
      </c>
      <c r="Q106" t="s">
        <v>902</v>
      </c>
      <c r="U106">
        <f>HYPERLINK("https://www.cookcountyassessoril.gov/pin/20113200100000", "20-11-320-010-0000")</f>
        <v>0</v>
      </c>
      <c r="V106" t="s">
        <v>990</v>
      </c>
    </row>
    <row r="107" spans="1:22">
      <c r="A107">
        <v>106</v>
      </c>
      <c r="B107" t="s">
        <v>124</v>
      </c>
      <c r="C107" t="s">
        <v>318</v>
      </c>
      <c r="D107" t="s">
        <v>416</v>
      </c>
      <c r="I107">
        <v>10000</v>
      </c>
      <c r="K107" t="s">
        <v>528</v>
      </c>
      <c r="L107">
        <f>HYPERLINK("https://maps.cookcountyil.gov/cookviewer/?search=1015 N HALSTED ST", "1015 N HALSTED ST")</f>
        <v>0</v>
      </c>
      <c r="N107" t="s">
        <v>616</v>
      </c>
      <c r="P107" t="s">
        <v>717</v>
      </c>
      <c r="Q107" t="s">
        <v>903</v>
      </c>
      <c r="U107">
        <f>HYPERLINK("https://www.cookcountyassessoril.gov/pin/17043150060000", "17-04-315-006-0000")</f>
        <v>0</v>
      </c>
      <c r="V107" t="s">
        <v>990</v>
      </c>
    </row>
    <row r="108" spans="1:22">
      <c r="A108">
        <v>107</v>
      </c>
      <c r="B108" t="s">
        <v>125</v>
      </c>
      <c r="C108" t="s">
        <v>319</v>
      </c>
      <c r="D108" t="s">
        <v>416</v>
      </c>
      <c r="I108">
        <v>23012</v>
      </c>
      <c r="K108" t="s">
        <v>529</v>
      </c>
      <c r="L108">
        <f>HYPERLINK("https://maps.cookcountyil.gov/cookviewer/?search=5931 S NAGLE AVE", "5931 S NAGLE AVE")</f>
        <v>0</v>
      </c>
      <c r="N108" t="s">
        <v>616</v>
      </c>
      <c r="P108" t="s">
        <v>718</v>
      </c>
      <c r="Q108" t="s">
        <v>904</v>
      </c>
      <c r="U108">
        <f>HYPERLINK("https://www.cookcountyassessoril.gov/pin/19184330310000", "19-18-433-031-0000")</f>
        <v>0</v>
      </c>
      <c r="V108" t="s">
        <v>991</v>
      </c>
    </row>
    <row r="109" spans="1:22">
      <c r="A109">
        <v>108</v>
      </c>
      <c r="B109" t="s">
        <v>126</v>
      </c>
      <c r="C109" t="s">
        <v>320</v>
      </c>
      <c r="D109" t="s">
        <v>417</v>
      </c>
      <c r="I109">
        <v>3000</v>
      </c>
      <c r="K109" t="s">
        <v>530</v>
      </c>
      <c r="L109">
        <f>HYPERLINK("https://maps.cookcountyil.gov/cookviewer/?search=4145 N HARDING AVE", "4145 N HARDING AVE")</f>
        <v>0</v>
      </c>
      <c r="N109" t="s">
        <v>616</v>
      </c>
      <c r="P109" t="s">
        <v>719</v>
      </c>
      <c r="Q109" t="s">
        <v>905</v>
      </c>
      <c r="U109">
        <f>HYPERLINK("https://www.cookcountyassessoril.gov/pin/13143180050000", "13-14-318-005-0000")</f>
        <v>0</v>
      </c>
      <c r="V109" t="s">
        <v>990</v>
      </c>
    </row>
    <row r="110" spans="1:22">
      <c r="A110">
        <v>109</v>
      </c>
      <c r="B110" t="s">
        <v>127</v>
      </c>
      <c r="C110" t="s">
        <v>321</v>
      </c>
      <c r="D110" t="s">
        <v>416</v>
      </c>
      <c r="I110">
        <v>2192</v>
      </c>
      <c r="K110" t="s">
        <v>531</v>
      </c>
      <c r="L110">
        <f>HYPERLINK("https://maps.cookcountyil.gov/cookviewer/?search=9221 S CHAPPEL AVE", "9221 S CHAPPEL AVE")</f>
        <v>0</v>
      </c>
      <c r="N110" t="s">
        <v>616</v>
      </c>
      <c r="P110" t="s">
        <v>720</v>
      </c>
      <c r="Q110" t="s">
        <v>906</v>
      </c>
      <c r="U110">
        <f>HYPERLINK("https://www.cookcountyassessoril.gov/pin/25014090540000", "25-01-409-054-0000")</f>
        <v>0</v>
      </c>
      <c r="V110" t="s">
        <v>990</v>
      </c>
    </row>
    <row r="111" spans="1:22">
      <c r="A111">
        <v>110</v>
      </c>
      <c r="B111" t="s">
        <v>128</v>
      </c>
      <c r="C111" t="s">
        <v>322</v>
      </c>
      <c r="D111" t="s">
        <v>416</v>
      </c>
      <c r="I111">
        <v>29149</v>
      </c>
      <c r="K111" t="s">
        <v>532</v>
      </c>
      <c r="L111">
        <f>HYPERLINK("https://maps.cookcountyil.gov/cookviewer/?search=10432 S SANGAMON ST", "10432 S SANGAMON ST")</f>
        <v>0</v>
      </c>
      <c r="N111" t="s">
        <v>616</v>
      </c>
      <c r="P111" t="s">
        <v>721</v>
      </c>
      <c r="Q111" t="s">
        <v>907</v>
      </c>
      <c r="U111">
        <f>HYPERLINK("https://www.cookcountyassessoril.gov/pin/25172120280000", "25-17-212-028-0000")</f>
        <v>0</v>
      </c>
      <c r="V111" t="s">
        <v>991</v>
      </c>
    </row>
    <row r="112" spans="1:22">
      <c r="A112">
        <v>111</v>
      </c>
      <c r="B112" t="s">
        <v>129</v>
      </c>
      <c r="C112" t="s">
        <v>323</v>
      </c>
      <c r="D112" t="s">
        <v>416</v>
      </c>
      <c r="I112">
        <v>1000</v>
      </c>
      <c r="K112" t="s">
        <v>533</v>
      </c>
      <c r="L112">
        <f>HYPERLINK("https://maps.cookcountyil.gov/cookviewer/?search=6730 N OLMSTED AVE", "6730 N OLMSTED AVE")</f>
        <v>0</v>
      </c>
      <c r="N112" t="s">
        <v>616</v>
      </c>
      <c r="P112" t="s">
        <v>722</v>
      </c>
      <c r="Q112" t="s">
        <v>908</v>
      </c>
      <c r="U112" t="s">
        <v>989</v>
      </c>
      <c r="V112" t="s">
        <v>990</v>
      </c>
    </row>
    <row r="113" spans="1:22">
      <c r="A113">
        <v>112</v>
      </c>
      <c r="B113" t="s">
        <v>130</v>
      </c>
      <c r="C113" t="s">
        <v>324</v>
      </c>
      <c r="D113" t="s">
        <v>422</v>
      </c>
      <c r="I113">
        <v>31362</v>
      </c>
      <c r="K113" t="s">
        <v>534</v>
      </c>
      <c r="L113">
        <f>HYPERLINK("https://maps.cookcountyil.gov/cookviewer/?search=8624 S KIMBARK AVE", "8624 S KIMBARK AVE")</f>
        <v>0</v>
      </c>
      <c r="N113" t="s">
        <v>616</v>
      </c>
      <c r="P113" t="s">
        <v>723</v>
      </c>
      <c r="Q113" t="s">
        <v>909</v>
      </c>
      <c r="U113">
        <f>HYPERLINK("https://www.cookcountyassessoril.gov/pin/20354240340000", "20-35-424-034-0000")</f>
        <v>0</v>
      </c>
      <c r="V113" t="s">
        <v>991</v>
      </c>
    </row>
    <row r="114" spans="1:22">
      <c r="A114">
        <v>113</v>
      </c>
      <c r="B114" t="s">
        <v>131</v>
      </c>
      <c r="C114" t="s">
        <v>325</v>
      </c>
      <c r="D114" t="s">
        <v>420</v>
      </c>
      <c r="I114">
        <v>17138</v>
      </c>
      <c r="K114" t="s">
        <v>535</v>
      </c>
      <c r="L114">
        <f>HYPERLINK("https://maps.cookcountyil.gov/cookviewer/?search=4623 W DEMING PL", "4623 W DEMING PL")</f>
        <v>0</v>
      </c>
      <c r="N114" t="s">
        <v>616</v>
      </c>
      <c r="P114" t="s">
        <v>724</v>
      </c>
      <c r="Q114" t="s">
        <v>910</v>
      </c>
      <c r="U114">
        <f>HYPERLINK("https://www.cookcountyassessoril.gov/pin/13273170120000", "13-27-317-012-0000")</f>
        <v>0</v>
      </c>
      <c r="V114" t="s">
        <v>991</v>
      </c>
    </row>
    <row r="115" spans="1:22">
      <c r="A115">
        <v>114</v>
      </c>
      <c r="B115" t="s">
        <v>132</v>
      </c>
      <c r="C115" t="s">
        <v>326</v>
      </c>
      <c r="D115" t="s">
        <v>416</v>
      </c>
      <c r="I115">
        <v>10000</v>
      </c>
      <c r="K115" t="s">
        <v>536</v>
      </c>
      <c r="L115">
        <f>HYPERLINK("https://maps.cookcountyil.gov/cookviewer/?search=3500 N SOUTHPORT AVE", "3500 N SOUTHPORT AVE")</f>
        <v>0</v>
      </c>
      <c r="N115" t="s">
        <v>616</v>
      </c>
      <c r="P115" t="s">
        <v>725</v>
      </c>
      <c r="Q115" t="s">
        <v>911</v>
      </c>
      <c r="U115">
        <f>HYPERLINK("https://www.cookcountyassessoril.gov/pin/14203030310000", "14-20-303-031-0000")</f>
        <v>0</v>
      </c>
      <c r="V115" t="s">
        <v>990</v>
      </c>
    </row>
    <row r="116" spans="1:22">
      <c r="A116">
        <v>115</v>
      </c>
      <c r="B116" t="s">
        <v>133</v>
      </c>
      <c r="C116" t="s">
        <v>327</v>
      </c>
      <c r="D116" t="s">
        <v>416</v>
      </c>
      <c r="I116">
        <v>10000</v>
      </c>
      <c r="K116" t="s">
        <v>537</v>
      </c>
      <c r="L116">
        <f>HYPERLINK("https://maps.cookcountyil.gov/cookviewer/?search=315 N HALSTED ST", "315 N HALSTED ST")</f>
        <v>0</v>
      </c>
      <c r="N116" t="s">
        <v>616</v>
      </c>
      <c r="P116" t="s">
        <v>725</v>
      </c>
      <c r="Q116" t="s">
        <v>911</v>
      </c>
      <c r="U116" t="s">
        <v>989</v>
      </c>
      <c r="V116" t="s">
        <v>990</v>
      </c>
    </row>
    <row r="117" spans="1:22">
      <c r="A117">
        <v>116</v>
      </c>
      <c r="B117" t="s">
        <v>134</v>
      </c>
      <c r="C117" t="s">
        <v>328</v>
      </c>
      <c r="D117" t="s">
        <v>421</v>
      </c>
      <c r="I117">
        <v>25000</v>
      </c>
      <c r="K117" t="s">
        <v>538</v>
      </c>
      <c r="L117">
        <f>HYPERLINK("https://maps.cookcountyil.gov/cookviewer/?search=5813 N OCONTO AVE", "5813 N OCONTO AVE")</f>
        <v>0</v>
      </c>
      <c r="N117" t="s">
        <v>616</v>
      </c>
      <c r="P117" t="s">
        <v>726</v>
      </c>
      <c r="Q117" t="s">
        <v>912</v>
      </c>
      <c r="U117">
        <f>HYPERLINK("https://www.cookcountyassessoril.gov/pin/12014040250000", "12-01-404-025-0000")</f>
        <v>0</v>
      </c>
      <c r="V117" t="s">
        <v>991</v>
      </c>
    </row>
    <row r="118" spans="1:22">
      <c r="A118">
        <v>117</v>
      </c>
      <c r="B118" t="s">
        <v>131</v>
      </c>
      <c r="C118" t="s">
        <v>329</v>
      </c>
      <c r="D118" t="s">
        <v>416</v>
      </c>
      <c r="I118">
        <v>5000</v>
      </c>
      <c r="K118" t="s">
        <v>535</v>
      </c>
      <c r="L118">
        <f>HYPERLINK("https://maps.cookcountyil.gov/cookviewer/?search=4623 W DEMING PL", "4623 W DEMING PL")</f>
        <v>0</v>
      </c>
      <c r="N118" t="s">
        <v>616</v>
      </c>
      <c r="P118" t="s">
        <v>724</v>
      </c>
      <c r="Q118" t="s">
        <v>913</v>
      </c>
      <c r="U118">
        <f>HYPERLINK("https://www.cookcountyassessoril.gov/pin/13273170120000", "13-27-317-012-0000")</f>
        <v>0</v>
      </c>
      <c r="V118" t="s">
        <v>990</v>
      </c>
    </row>
    <row r="119" spans="1:22">
      <c r="A119">
        <v>118</v>
      </c>
      <c r="B119" t="s">
        <v>135</v>
      </c>
      <c r="C119" t="s">
        <v>330</v>
      </c>
      <c r="D119" t="s">
        <v>420</v>
      </c>
      <c r="I119">
        <v>1000</v>
      </c>
      <c r="K119" t="s">
        <v>539</v>
      </c>
      <c r="L119">
        <f>HYPERLINK("https://maps.cookcountyil.gov/cookviewer/?search=2525 W 71ST ST", "2525 W 71ST ST")</f>
        <v>0</v>
      </c>
      <c r="N119" t="s">
        <v>616</v>
      </c>
      <c r="P119" t="s">
        <v>727</v>
      </c>
      <c r="Q119" t="s">
        <v>914</v>
      </c>
      <c r="U119">
        <f>HYPERLINK("https://www.cookcountyassessoril.gov/pin/19252050010000", "19-25-205-001-0000")</f>
        <v>0</v>
      </c>
      <c r="V119" t="s">
        <v>990</v>
      </c>
    </row>
    <row r="120" spans="1:22">
      <c r="A120">
        <v>119</v>
      </c>
      <c r="B120" t="s">
        <v>136</v>
      </c>
      <c r="C120" t="s">
        <v>331</v>
      </c>
      <c r="D120" t="s">
        <v>424</v>
      </c>
      <c r="I120">
        <v>1200</v>
      </c>
      <c r="K120" t="s">
        <v>540</v>
      </c>
      <c r="L120">
        <f>HYPERLINK("https://maps.cookcountyil.gov/cookviewer/?search=2009 N CALIFORNIA AVE", "2009 N CALIFORNIA AVE")</f>
        <v>0</v>
      </c>
      <c r="N120" t="s">
        <v>616</v>
      </c>
      <c r="P120" t="s">
        <v>697</v>
      </c>
      <c r="Q120" t="s">
        <v>915</v>
      </c>
      <c r="U120">
        <f>HYPERLINK("https://www.cookcountyassessoril.gov/pin/13362280030000", "13-36-228-003-0000")</f>
        <v>0</v>
      </c>
      <c r="V120" t="s">
        <v>990</v>
      </c>
    </row>
    <row r="121" spans="1:22">
      <c r="A121">
        <v>120</v>
      </c>
      <c r="B121" t="s">
        <v>137</v>
      </c>
      <c r="C121" t="s">
        <v>332</v>
      </c>
      <c r="D121" t="s">
        <v>420</v>
      </c>
      <c r="I121">
        <v>25642</v>
      </c>
      <c r="K121" t="s">
        <v>541</v>
      </c>
      <c r="L121">
        <f>HYPERLINK("https://maps.cookcountyil.gov/cookviewer/?search=6809 S MAPLEWOOD AVE", "6809 S MAPLEWOOD AVE")</f>
        <v>0</v>
      </c>
      <c r="N121" t="s">
        <v>616</v>
      </c>
      <c r="P121" t="s">
        <v>728</v>
      </c>
      <c r="Q121" t="s">
        <v>916</v>
      </c>
      <c r="U121">
        <f>HYPERLINK("https://www.cookcountyassessoril.gov/pin/19244100040000", "19-24-410-004-0000")</f>
        <v>0</v>
      </c>
      <c r="V121" t="s">
        <v>990</v>
      </c>
    </row>
    <row r="122" spans="1:22">
      <c r="A122">
        <v>121</v>
      </c>
      <c r="B122" t="s">
        <v>138</v>
      </c>
      <c r="C122" t="s">
        <v>333</v>
      </c>
      <c r="D122" t="s">
        <v>420</v>
      </c>
      <c r="I122">
        <v>3500</v>
      </c>
      <c r="K122" t="s">
        <v>542</v>
      </c>
      <c r="L122">
        <f>HYPERLINK("https://maps.cookcountyil.gov/cookviewer/?search=207 N AUSTIN BLVD", "207 N AUSTIN BLVD")</f>
        <v>0</v>
      </c>
      <c r="N122" t="s">
        <v>616</v>
      </c>
      <c r="P122" t="s">
        <v>729</v>
      </c>
      <c r="Q122" t="s">
        <v>917</v>
      </c>
      <c r="U122">
        <f>HYPERLINK("https://www.cookcountyassessoril.gov/pin/16084060100000", "16-08-406-010-0000")</f>
        <v>0</v>
      </c>
      <c r="V122" t="s">
        <v>990</v>
      </c>
    </row>
    <row r="123" spans="1:22">
      <c r="A123">
        <v>122</v>
      </c>
      <c r="B123" t="s">
        <v>139</v>
      </c>
      <c r="C123" t="s">
        <v>334</v>
      </c>
      <c r="D123" t="s">
        <v>419</v>
      </c>
      <c r="I123">
        <v>9500</v>
      </c>
      <c r="K123" t="s">
        <v>543</v>
      </c>
      <c r="L123">
        <f>HYPERLINK("https://maps.cookcountyil.gov/cookviewer/?search=3845 S VINCENNES AVE", "3845 S VINCENNES AVE")</f>
        <v>0</v>
      </c>
      <c r="N123" t="s">
        <v>616</v>
      </c>
      <c r="P123" t="s">
        <v>730</v>
      </c>
      <c r="Q123" t="s">
        <v>918</v>
      </c>
      <c r="U123" t="s">
        <v>989</v>
      </c>
      <c r="V123" t="s">
        <v>990</v>
      </c>
    </row>
    <row r="124" spans="1:22">
      <c r="A124">
        <v>123</v>
      </c>
      <c r="B124" t="s">
        <v>140</v>
      </c>
      <c r="C124" t="s">
        <v>335</v>
      </c>
      <c r="D124" t="s">
        <v>413</v>
      </c>
      <c r="I124">
        <v>3750</v>
      </c>
      <c r="K124" t="s">
        <v>544</v>
      </c>
      <c r="L124">
        <f>HYPERLINK("https://maps.cookcountyil.gov/cookviewer/?search=3114 W 41ST ST", "3114 W 41ST ST")</f>
        <v>0</v>
      </c>
      <c r="N124" t="s">
        <v>616</v>
      </c>
      <c r="P124" t="s">
        <v>674</v>
      </c>
      <c r="Q124" t="s">
        <v>871</v>
      </c>
      <c r="U124">
        <f>HYPERLINK("https://www.cookcountyassessoril.gov/pin/19011120320000", "19-01-112-032-0000")</f>
        <v>0</v>
      </c>
      <c r="V124" t="s">
        <v>990</v>
      </c>
    </row>
    <row r="125" spans="1:22">
      <c r="A125">
        <v>124</v>
      </c>
      <c r="B125" t="s">
        <v>141</v>
      </c>
      <c r="C125" t="s">
        <v>336</v>
      </c>
      <c r="D125" t="s">
        <v>416</v>
      </c>
      <c r="I125">
        <v>700</v>
      </c>
      <c r="K125" t="s">
        <v>545</v>
      </c>
      <c r="L125">
        <f>HYPERLINK("https://maps.cookcountyil.gov/cookviewer/?search=8429 S JEFFERY BLVD", "8429 S JEFFERY BLVD")</f>
        <v>0</v>
      </c>
      <c r="N125" t="s">
        <v>616</v>
      </c>
      <c r="P125" t="s">
        <v>731</v>
      </c>
      <c r="Q125" t="s">
        <v>919</v>
      </c>
      <c r="U125" t="s">
        <v>989</v>
      </c>
      <c r="V125" t="s">
        <v>990</v>
      </c>
    </row>
    <row r="126" spans="1:22">
      <c r="A126">
        <v>125</v>
      </c>
      <c r="B126" t="s">
        <v>142</v>
      </c>
      <c r="C126" t="s">
        <v>337</v>
      </c>
      <c r="D126" t="s">
        <v>419</v>
      </c>
      <c r="I126">
        <v>9500</v>
      </c>
      <c r="K126" t="s">
        <v>546</v>
      </c>
      <c r="L126">
        <f>HYPERLINK("https://maps.cookcountyil.gov/cookviewer/?search=651 E 37TH ST", "651 E 37TH ST")</f>
        <v>0</v>
      </c>
      <c r="N126" t="s">
        <v>616</v>
      </c>
      <c r="P126" t="s">
        <v>730</v>
      </c>
      <c r="Q126" t="s">
        <v>920</v>
      </c>
      <c r="U126" t="s">
        <v>989</v>
      </c>
      <c r="V126" t="s">
        <v>990</v>
      </c>
    </row>
    <row r="127" spans="1:22">
      <c r="A127">
        <v>126</v>
      </c>
      <c r="B127" t="s">
        <v>143</v>
      </c>
      <c r="C127" t="s">
        <v>338</v>
      </c>
      <c r="D127" t="s">
        <v>416</v>
      </c>
      <c r="I127">
        <v>53700</v>
      </c>
      <c r="K127" t="s">
        <v>547</v>
      </c>
      <c r="L127">
        <f>HYPERLINK("https://maps.cookcountyil.gov/cookviewer/?search=10424 S WESTERN AVE", "10424 S WESTERN AVE")</f>
        <v>0</v>
      </c>
      <c r="N127" t="s">
        <v>616</v>
      </c>
      <c r="P127" t="s">
        <v>732</v>
      </c>
      <c r="Q127" t="s">
        <v>921</v>
      </c>
      <c r="U127">
        <f>HYPERLINK("https://www.cookcountyassessoril.gov/pin/24132170260000", "24-13-217-026-0000")</f>
        <v>0</v>
      </c>
      <c r="V127" t="s">
        <v>991</v>
      </c>
    </row>
    <row r="128" spans="1:22">
      <c r="A128">
        <v>127</v>
      </c>
      <c r="B128" t="s">
        <v>144</v>
      </c>
      <c r="C128" t="s">
        <v>338</v>
      </c>
      <c r="D128" t="s">
        <v>416</v>
      </c>
      <c r="I128">
        <v>53700</v>
      </c>
      <c r="K128" t="s">
        <v>547</v>
      </c>
      <c r="L128">
        <f>HYPERLINK("https://maps.cookcountyil.gov/cookviewer/?search=10424 S WESTERN AVE", "10424 S WESTERN AVE")</f>
        <v>0</v>
      </c>
      <c r="N128" t="s">
        <v>616</v>
      </c>
      <c r="P128" t="s">
        <v>732</v>
      </c>
      <c r="Q128" t="s">
        <v>921</v>
      </c>
      <c r="U128">
        <f>HYPERLINK("https://www.cookcountyassessoril.gov/pin/24132170260000", "24-13-217-026-0000")</f>
        <v>0</v>
      </c>
      <c r="V128" t="s">
        <v>991</v>
      </c>
    </row>
    <row r="129" spans="1:22">
      <c r="A129">
        <v>128</v>
      </c>
      <c r="B129" t="s">
        <v>145</v>
      </c>
      <c r="C129" t="s">
        <v>338</v>
      </c>
      <c r="D129" t="s">
        <v>416</v>
      </c>
      <c r="I129">
        <v>53700</v>
      </c>
      <c r="K129" t="s">
        <v>547</v>
      </c>
      <c r="L129">
        <f>HYPERLINK("https://maps.cookcountyil.gov/cookviewer/?search=10424 S WESTERN AVE", "10424 S WESTERN AVE")</f>
        <v>0</v>
      </c>
      <c r="N129" t="s">
        <v>616</v>
      </c>
      <c r="P129" t="s">
        <v>732</v>
      </c>
      <c r="Q129" t="s">
        <v>921</v>
      </c>
      <c r="U129">
        <f>HYPERLINK("https://www.cookcountyassessoril.gov/pin/24132170260000", "24-13-217-026-0000")</f>
        <v>0</v>
      </c>
      <c r="V129" t="s">
        <v>991</v>
      </c>
    </row>
    <row r="130" spans="1:22">
      <c r="A130">
        <v>129</v>
      </c>
      <c r="B130" t="s">
        <v>146</v>
      </c>
      <c r="C130" t="s">
        <v>339</v>
      </c>
      <c r="D130" t="s">
        <v>413</v>
      </c>
      <c r="I130">
        <v>5000</v>
      </c>
      <c r="K130" t="s">
        <v>548</v>
      </c>
      <c r="L130">
        <f>HYPERLINK("https://maps.cookcountyil.gov/cookviewer/?search=1255 W NORTH AVE", "1255 W NORTH AVE")</f>
        <v>0</v>
      </c>
      <c r="N130" t="s">
        <v>616</v>
      </c>
      <c r="P130" t="s">
        <v>733</v>
      </c>
      <c r="Q130" t="s">
        <v>922</v>
      </c>
      <c r="U130">
        <f>HYPERLINK("https://www.cookcountyassessoril.gov/pin/17051050270000", "17-05-105-027-0000")</f>
        <v>0</v>
      </c>
      <c r="V130" t="s">
        <v>990</v>
      </c>
    </row>
    <row r="131" spans="1:22">
      <c r="A131">
        <v>130</v>
      </c>
      <c r="B131" t="s">
        <v>147</v>
      </c>
      <c r="C131" t="s">
        <v>340</v>
      </c>
      <c r="D131" t="s">
        <v>416</v>
      </c>
      <c r="I131">
        <v>9100</v>
      </c>
      <c r="K131" t="s">
        <v>549</v>
      </c>
      <c r="L131">
        <f>HYPERLINK("https://maps.cookcountyil.gov/cookviewer/?search=8412 S INGLESIDE AVE", "8412 S INGLESIDE AVE")</f>
        <v>0</v>
      </c>
      <c r="N131" t="s">
        <v>616</v>
      </c>
      <c r="P131" t="s">
        <v>734</v>
      </c>
      <c r="Q131" t="s">
        <v>923</v>
      </c>
      <c r="U131">
        <f>HYPERLINK("https://www.cookcountyassessoril.gov/pin/20353060500000", "20-35-306-050-0000")</f>
        <v>0</v>
      </c>
      <c r="V131" t="s">
        <v>990</v>
      </c>
    </row>
    <row r="132" spans="1:22">
      <c r="A132">
        <v>131</v>
      </c>
      <c r="B132" t="s">
        <v>148</v>
      </c>
      <c r="C132" t="s">
        <v>341</v>
      </c>
      <c r="D132" t="s">
        <v>420</v>
      </c>
      <c r="I132">
        <v>17138</v>
      </c>
      <c r="K132" t="s">
        <v>550</v>
      </c>
      <c r="L132">
        <f>HYPERLINK("https://maps.cookcountyil.gov/cookviewer/?search=5216 S NAGLE AVE", "5216 S NAGLE AVE")</f>
        <v>0</v>
      </c>
      <c r="N132" t="s">
        <v>616</v>
      </c>
      <c r="P132" t="s">
        <v>735</v>
      </c>
      <c r="Q132" t="s">
        <v>924</v>
      </c>
      <c r="U132">
        <f>HYPERLINK("https://www.cookcountyassessoril.gov/pin/19074140220000", "19-07-414-022-0000")</f>
        <v>0</v>
      </c>
      <c r="V132" t="s">
        <v>991</v>
      </c>
    </row>
    <row r="133" spans="1:22">
      <c r="A133">
        <v>132</v>
      </c>
      <c r="B133" t="s">
        <v>149</v>
      </c>
      <c r="C133" t="s">
        <v>342</v>
      </c>
      <c r="D133" t="s">
        <v>416</v>
      </c>
      <c r="I133">
        <v>23451</v>
      </c>
      <c r="K133" t="s">
        <v>551</v>
      </c>
      <c r="L133">
        <f>HYPERLINK("https://maps.cookcountyil.gov/cookviewer/?search=2102 W SUNNYSIDE AVE", "2102 W SUNNYSIDE AVE")</f>
        <v>0</v>
      </c>
      <c r="N133" t="s">
        <v>616</v>
      </c>
      <c r="P133" t="s">
        <v>736</v>
      </c>
      <c r="Q133" t="s">
        <v>925</v>
      </c>
      <c r="U133">
        <f>HYPERLINK("https://www.cookcountyassessoril.gov/pin/14181270330000", "14-18-127-033-0000")</f>
        <v>0</v>
      </c>
      <c r="V133" t="s">
        <v>991</v>
      </c>
    </row>
    <row r="134" spans="1:22">
      <c r="A134">
        <v>133</v>
      </c>
      <c r="B134" t="s">
        <v>150</v>
      </c>
      <c r="C134" t="s">
        <v>343</v>
      </c>
      <c r="D134" t="s">
        <v>416</v>
      </c>
      <c r="I134">
        <v>40000</v>
      </c>
      <c r="K134" t="s">
        <v>552</v>
      </c>
      <c r="L134">
        <f>HYPERLINK("https://maps.cookcountyil.gov/cookviewer/?search=7429 N GREENVIEW AVE", "7429 N GREENVIEW AVE")</f>
        <v>0</v>
      </c>
      <c r="N134" t="s">
        <v>616</v>
      </c>
      <c r="P134" t="s">
        <v>737</v>
      </c>
      <c r="Q134" t="s">
        <v>926</v>
      </c>
      <c r="U134" t="s">
        <v>989</v>
      </c>
      <c r="V134" t="s">
        <v>991</v>
      </c>
    </row>
    <row r="135" spans="1:22">
      <c r="A135">
        <v>134</v>
      </c>
      <c r="B135" t="s">
        <v>151</v>
      </c>
      <c r="C135" t="s">
        <v>344</v>
      </c>
      <c r="D135" t="s">
        <v>416</v>
      </c>
      <c r="I135">
        <v>3500</v>
      </c>
      <c r="K135" t="s">
        <v>553</v>
      </c>
      <c r="L135">
        <f>HYPERLINK("https://maps.cookcountyil.gov/cookviewer/?search=5274 N LARNED AVE", "5274 N LARNED AVE")</f>
        <v>0</v>
      </c>
      <c r="N135" t="s">
        <v>616</v>
      </c>
      <c r="P135" t="s">
        <v>738</v>
      </c>
      <c r="Q135" t="s">
        <v>927</v>
      </c>
      <c r="U135">
        <f>HYPERLINK("https://www.cookcountyassessoril.gov/pin/13091320290000", "13-09-132-029-0000")</f>
        <v>0</v>
      </c>
      <c r="V135" t="s">
        <v>990</v>
      </c>
    </row>
    <row r="136" spans="1:22">
      <c r="A136">
        <v>135</v>
      </c>
      <c r="B136" t="s">
        <v>152</v>
      </c>
      <c r="C136" t="s">
        <v>345</v>
      </c>
      <c r="D136" t="s">
        <v>416</v>
      </c>
      <c r="I136">
        <v>26000</v>
      </c>
      <c r="K136" t="s">
        <v>554</v>
      </c>
      <c r="L136">
        <f>HYPERLINK("https://maps.cookcountyil.gov/cookviewer/?search=9301 S COTTAGE GROVE AVE", "9301 S COTTAGE GROVE AVE")</f>
        <v>0</v>
      </c>
      <c r="N136" t="s">
        <v>616</v>
      </c>
      <c r="P136" t="s">
        <v>739</v>
      </c>
      <c r="Q136" t="s">
        <v>928</v>
      </c>
      <c r="U136">
        <f>HYPERLINK("https://www.cookcountyassessoril.gov/pin/25023150010000", "25-02-315-001-0000")</f>
        <v>0</v>
      </c>
      <c r="V136" t="s">
        <v>991</v>
      </c>
    </row>
    <row r="137" spans="1:22">
      <c r="A137">
        <v>136</v>
      </c>
      <c r="B137" t="s">
        <v>153</v>
      </c>
      <c r="C137" t="s">
        <v>346</v>
      </c>
      <c r="D137" t="s">
        <v>416</v>
      </c>
      <c r="I137">
        <v>240000</v>
      </c>
      <c r="K137" t="s">
        <v>555</v>
      </c>
      <c r="L137">
        <f>HYPERLINK("https://maps.cookcountyil.gov/cookviewer/?search=4250 N LINCOLN AVE", "4250 N LINCOLN AVE")</f>
        <v>0</v>
      </c>
      <c r="N137" t="s">
        <v>616</v>
      </c>
      <c r="P137" t="s">
        <v>740</v>
      </c>
      <c r="Q137" t="s">
        <v>929</v>
      </c>
      <c r="U137">
        <f>HYPERLINK("https://www.cookcountyassessoril.gov/pin/14183120260000", "14-18-312-026-0000")</f>
        <v>0</v>
      </c>
      <c r="V137" t="s">
        <v>991</v>
      </c>
    </row>
    <row r="138" spans="1:22">
      <c r="A138">
        <v>137</v>
      </c>
      <c r="B138" t="s">
        <v>154</v>
      </c>
      <c r="C138" t="s">
        <v>347</v>
      </c>
      <c r="D138" t="s">
        <v>425</v>
      </c>
      <c r="I138">
        <v>2000</v>
      </c>
      <c r="K138" t="s">
        <v>556</v>
      </c>
      <c r="L138">
        <f>HYPERLINK("https://maps.cookcountyil.gov/cookviewer/?search=3506 W 73RD PL", "3506 W 73RD PL")</f>
        <v>0</v>
      </c>
      <c r="N138" t="s">
        <v>616</v>
      </c>
      <c r="P138" t="s">
        <v>741</v>
      </c>
      <c r="Q138" t="s">
        <v>930</v>
      </c>
      <c r="U138">
        <f>HYPERLINK("https://www.cookcountyassessoril.gov/pin/19262160310000", "19-26-216-031-0000")</f>
        <v>0</v>
      </c>
      <c r="V138" t="s">
        <v>990</v>
      </c>
    </row>
    <row r="139" spans="1:22">
      <c r="A139">
        <v>138</v>
      </c>
      <c r="B139" t="s">
        <v>155</v>
      </c>
      <c r="C139" t="s">
        <v>348</v>
      </c>
      <c r="D139" t="s">
        <v>416</v>
      </c>
      <c r="I139">
        <v>3000</v>
      </c>
      <c r="K139" t="s">
        <v>557</v>
      </c>
      <c r="L139">
        <f>HYPERLINK("https://maps.cookcountyil.gov/cookviewer/?search=1746 N MASON AVE", "1746 N MASON AVE")</f>
        <v>0</v>
      </c>
      <c r="N139" t="s">
        <v>616</v>
      </c>
      <c r="P139" t="s">
        <v>742</v>
      </c>
      <c r="Q139" t="s">
        <v>931</v>
      </c>
      <c r="U139">
        <f>HYPERLINK("https://www.cookcountyassessoril.gov/pin/13324050250000", "13-32-405-025-0000")</f>
        <v>0</v>
      </c>
      <c r="V139" t="s">
        <v>990</v>
      </c>
    </row>
    <row r="140" spans="1:22">
      <c r="A140">
        <v>139</v>
      </c>
      <c r="B140" t="s">
        <v>156</v>
      </c>
      <c r="C140" t="s">
        <v>349</v>
      </c>
      <c r="D140" t="s">
        <v>416</v>
      </c>
      <c r="I140">
        <v>17310</v>
      </c>
      <c r="K140" t="s">
        <v>558</v>
      </c>
      <c r="L140">
        <f>HYPERLINK("https://maps.cookcountyil.gov/cookviewer/?search=8126 S KNOX AVE", "8126 S KNOX AVE")</f>
        <v>0</v>
      </c>
      <c r="N140" t="s">
        <v>616</v>
      </c>
      <c r="P140" t="s">
        <v>743</v>
      </c>
      <c r="Q140" t="s">
        <v>932</v>
      </c>
      <c r="U140">
        <f>HYPERLINK("https://www.cookcountyassessoril.gov/pin/19341200320000", "19-34-120-032-0000")</f>
        <v>0</v>
      </c>
      <c r="V140" t="s">
        <v>991</v>
      </c>
    </row>
    <row r="141" spans="1:22">
      <c r="A141">
        <v>140</v>
      </c>
      <c r="B141" t="s">
        <v>157</v>
      </c>
      <c r="C141" t="s">
        <v>350</v>
      </c>
      <c r="D141" t="s">
        <v>413</v>
      </c>
      <c r="I141">
        <v>2745230</v>
      </c>
      <c r="K141" t="s">
        <v>559</v>
      </c>
      <c r="L141">
        <f>HYPERLINK("https://maps.cookcountyil.gov/cookviewer/?search=900 W NELSON ST", "900 W NELSON ST")</f>
        <v>0</v>
      </c>
      <c r="N141" t="s">
        <v>616</v>
      </c>
      <c r="P141" t="s">
        <v>744</v>
      </c>
      <c r="Q141" t="s">
        <v>933</v>
      </c>
      <c r="U141" t="s">
        <v>989</v>
      </c>
      <c r="V141" t="s">
        <v>990</v>
      </c>
    </row>
    <row r="142" spans="1:22">
      <c r="A142">
        <v>141</v>
      </c>
      <c r="B142" t="s">
        <v>158</v>
      </c>
      <c r="C142" t="s">
        <v>351</v>
      </c>
      <c r="D142" t="s">
        <v>416</v>
      </c>
      <c r="I142">
        <v>4850</v>
      </c>
      <c r="K142" t="s">
        <v>560</v>
      </c>
      <c r="L142">
        <f>HYPERLINK("https://maps.cookcountyil.gov/cookviewer/?search=3262 W ARMITAGE AVE", "3262 W ARMITAGE AVE")</f>
        <v>0</v>
      </c>
      <c r="N142" t="s">
        <v>616</v>
      </c>
      <c r="P142" t="s">
        <v>745</v>
      </c>
      <c r="Q142" t="s">
        <v>934</v>
      </c>
      <c r="U142" t="s">
        <v>989</v>
      </c>
      <c r="V142" t="s">
        <v>990</v>
      </c>
    </row>
    <row r="143" spans="1:22">
      <c r="A143">
        <v>142</v>
      </c>
      <c r="B143" t="s">
        <v>159</v>
      </c>
      <c r="C143" t="s">
        <v>352</v>
      </c>
      <c r="D143" t="s">
        <v>413</v>
      </c>
      <c r="I143">
        <v>40000</v>
      </c>
      <c r="K143" t="s">
        <v>561</v>
      </c>
      <c r="L143">
        <f>HYPERLINK("https://maps.cookcountyil.gov/cookviewer/?search=5000 S INDIANA AVE", "5000 S INDIANA AVE")</f>
        <v>0</v>
      </c>
      <c r="N143" t="s">
        <v>616</v>
      </c>
      <c r="P143" t="s">
        <v>746</v>
      </c>
      <c r="Q143" t="s">
        <v>935</v>
      </c>
      <c r="U143" t="s">
        <v>989</v>
      </c>
      <c r="V143" t="s">
        <v>990</v>
      </c>
    </row>
    <row r="144" spans="1:22">
      <c r="A144">
        <v>143</v>
      </c>
      <c r="B144" t="s">
        <v>160</v>
      </c>
      <c r="C144" t="s">
        <v>353</v>
      </c>
      <c r="D144" t="s">
        <v>420</v>
      </c>
      <c r="I144">
        <v>94500</v>
      </c>
      <c r="K144" t="s">
        <v>562</v>
      </c>
      <c r="L144">
        <f>HYPERLINK("https://maps.cookcountyil.gov/cookviewer/?search=3170 N SHERIDAN RD", "3170 N SHERIDAN RD")</f>
        <v>0</v>
      </c>
      <c r="N144" t="s">
        <v>616</v>
      </c>
      <c r="P144" t="s">
        <v>747</v>
      </c>
      <c r="Q144" t="s">
        <v>936</v>
      </c>
      <c r="U144">
        <f>HYPERLINK("https://www.cookcountyassessoril.gov/pin/14281030430000", "14-28-103-043-0000")</f>
        <v>0</v>
      </c>
      <c r="V144" t="s">
        <v>990</v>
      </c>
    </row>
    <row r="145" spans="1:22">
      <c r="A145">
        <v>144</v>
      </c>
      <c r="B145" t="s">
        <v>161</v>
      </c>
      <c r="C145" t="s">
        <v>354</v>
      </c>
      <c r="D145" t="s">
        <v>426</v>
      </c>
      <c r="I145">
        <v>20322</v>
      </c>
      <c r="K145" t="s">
        <v>563</v>
      </c>
      <c r="L145">
        <f>HYPERLINK("https://maps.cookcountyil.gov/cookviewer/?search=3628 W 68TH ST", "3628 W 68TH ST")</f>
        <v>0</v>
      </c>
      <c r="N145" t="s">
        <v>616</v>
      </c>
      <c r="P145" t="s">
        <v>748</v>
      </c>
      <c r="Q145" t="s">
        <v>937</v>
      </c>
      <c r="U145">
        <f>HYPERLINK("https://www.cookcountyassessoril.gov/pin/19233070340000", "19-23-307-034-0000")</f>
        <v>0</v>
      </c>
      <c r="V145" t="s">
        <v>991</v>
      </c>
    </row>
    <row r="146" spans="1:22">
      <c r="A146">
        <v>145</v>
      </c>
      <c r="B146" t="s">
        <v>162</v>
      </c>
      <c r="C146" t="s">
        <v>355</v>
      </c>
      <c r="D146" t="s">
        <v>417</v>
      </c>
      <c r="I146">
        <v>30000</v>
      </c>
      <c r="K146" t="s">
        <v>564</v>
      </c>
      <c r="L146">
        <f>HYPERLINK("https://maps.cookcountyil.gov/cookviewer/?search=3416 S CARPENTER ST", "3416 S CARPENTER ST")</f>
        <v>0</v>
      </c>
      <c r="N146" t="s">
        <v>616</v>
      </c>
      <c r="P146" t="s">
        <v>749</v>
      </c>
      <c r="Q146" t="s">
        <v>938</v>
      </c>
      <c r="U146">
        <f>HYPERLINK("https://www.cookcountyassessoril.gov/pin/17322172130000", "17-32-217-213-0000")</f>
        <v>0</v>
      </c>
      <c r="V146" t="s">
        <v>991</v>
      </c>
    </row>
    <row r="147" spans="1:22">
      <c r="A147">
        <v>146</v>
      </c>
      <c r="B147" t="s">
        <v>163</v>
      </c>
      <c r="C147" t="s">
        <v>356</v>
      </c>
      <c r="D147" t="s">
        <v>424</v>
      </c>
      <c r="I147">
        <v>6000</v>
      </c>
      <c r="K147" t="s">
        <v>565</v>
      </c>
      <c r="L147">
        <f>HYPERLINK("https://maps.cookcountyil.gov/cookviewer/?search=3530 N OLEANDER AVE", "3530 N OLEANDER AVE")</f>
        <v>0</v>
      </c>
      <c r="N147" t="s">
        <v>616</v>
      </c>
      <c r="P147" t="s">
        <v>750</v>
      </c>
      <c r="Q147" t="s">
        <v>939</v>
      </c>
      <c r="U147">
        <f>HYPERLINK("https://www.cookcountyassessoril.gov/pin/12244000270000", "12-24-400-027-0000")</f>
        <v>0</v>
      </c>
      <c r="V147" t="s">
        <v>990</v>
      </c>
    </row>
    <row r="148" spans="1:22">
      <c r="A148">
        <v>147</v>
      </c>
      <c r="B148" t="s">
        <v>164</v>
      </c>
      <c r="C148" t="s">
        <v>357</v>
      </c>
      <c r="D148" t="s">
        <v>411</v>
      </c>
      <c r="I148">
        <v>4000</v>
      </c>
      <c r="K148" t="s">
        <v>566</v>
      </c>
      <c r="L148">
        <f>HYPERLINK("https://maps.cookcountyil.gov/cookviewer/?search=1800 W CERMAK RD", "1800 W CERMAK RD")</f>
        <v>0</v>
      </c>
      <c r="N148" t="s">
        <v>616</v>
      </c>
      <c r="P148" t="s">
        <v>751</v>
      </c>
      <c r="Q148" t="s">
        <v>940</v>
      </c>
      <c r="U148">
        <f>HYPERLINK("https://www.cookcountyassessoril.gov/pin/17194270480000", "17-19-427-048-0000")</f>
        <v>0</v>
      </c>
      <c r="V148" t="s">
        <v>990</v>
      </c>
    </row>
    <row r="149" spans="1:22">
      <c r="A149">
        <v>148</v>
      </c>
      <c r="B149" t="s">
        <v>165</v>
      </c>
      <c r="C149" t="s">
        <v>358</v>
      </c>
      <c r="D149" t="s">
        <v>419</v>
      </c>
      <c r="I149">
        <v>1400</v>
      </c>
      <c r="K149" t="s">
        <v>567</v>
      </c>
      <c r="L149">
        <f>HYPERLINK("https://maps.cookcountyil.gov/cookviewer/?search=218 E 51ST ST", "218 E 51ST ST")</f>
        <v>0</v>
      </c>
      <c r="N149" t="s">
        <v>616</v>
      </c>
      <c r="P149" t="s">
        <v>752</v>
      </c>
      <c r="Q149" t="s">
        <v>941</v>
      </c>
      <c r="U149">
        <f>HYPERLINK("https://www.cookcountyassessoril.gov/pin/20101210430000", "20-10-121-043-0000")</f>
        <v>0</v>
      </c>
      <c r="V149" t="s">
        <v>990</v>
      </c>
    </row>
    <row r="150" spans="1:22">
      <c r="A150">
        <v>149</v>
      </c>
      <c r="B150" t="s">
        <v>166</v>
      </c>
      <c r="C150" t="s">
        <v>359</v>
      </c>
      <c r="D150" t="s">
        <v>416</v>
      </c>
      <c r="I150">
        <v>3750</v>
      </c>
      <c r="K150" t="s">
        <v>568</v>
      </c>
      <c r="L150">
        <f>HYPERLINK("https://maps.cookcountyil.gov/cookviewer/?search=5324 S AVERS AVE", "5324 S AVERS AVE")</f>
        <v>0</v>
      </c>
      <c r="N150" t="s">
        <v>616</v>
      </c>
      <c r="P150" t="s">
        <v>753</v>
      </c>
      <c r="Q150" t="s">
        <v>900</v>
      </c>
      <c r="U150">
        <f>HYPERLINK("https://www.cookcountyassessoril.gov/pin/19113200500000", "19-11-320-050-0000")</f>
        <v>0</v>
      </c>
      <c r="V150" t="s">
        <v>990</v>
      </c>
    </row>
    <row r="151" spans="1:22">
      <c r="A151">
        <v>150</v>
      </c>
      <c r="B151" t="s">
        <v>167</v>
      </c>
      <c r="C151" t="s">
        <v>360</v>
      </c>
      <c r="D151" t="s">
        <v>415</v>
      </c>
      <c r="I151">
        <v>45000</v>
      </c>
      <c r="K151" t="s">
        <v>569</v>
      </c>
      <c r="L151">
        <f>HYPERLINK("https://maps.cookcountyil.gov/cookviewer/?search=458 W 32ND ST", "458 W 32ND ST")</f>
        <v>0</v>
      </c>
      <c r="N151" t="s">
        <v>616</v>
      </c>
      <c r="P151" t="s">
        <v>754</v>
      </c>
      <c r="Q151" t="s">
        <v>942</v>
      </c>
      <c r="U151" t="s">
        <v>989</v>
      </c>
      <c r="V151" t="s">
        <v>991</v>
      </c>
    </row>
    <row r="152" spans="1:22">
      <c r="A152">
        <v>151</v>
      </c>
      <c r="B152" t="s">
        <v>168</v>
      </c>
      <c r="C152" t="s">
        <v>361</v>
      </c>
      <c r="D152" t="s">
        <v>423</v>
      </c>
      <c r="I152">
        <v>17950</v>
      </c>
      <c r="K152" t="s">
        <v>570</v>
      </c>
      <c r="L152">
        <f>HYPERLINK("https://maps.cookcountyil.gov/cookviewer/?search=768 W JACKSON BLVD", "768 W JACKSON BLVD")</f>
        <v>0</v>
      </c>
      <c r="N152" t="s">
        <v>616</v>
      </c>
      <c r="P152" t="s">
        <v>755</v>
      </c>
      <c r="Q152" t="s">
        <v>943</v>
      </c>
      <c r="U152" t="s">
        <v>989</v>
      </c>
      <c r="V152" t="s">
        <v>990</v>
      </c>
    </row>
    <row r="153" spans="1:22">
      <c r="A153">
        <v>152</v>
      </c>
      <c r="B153" t="s">
        <v>169</v>
      </c>
      <c r="C153" t="s">
        <v>362</v>
      </c>
      <c r="D153" t="s">
        <v>416</v>
      </c>
      <c r="I153">
        <v>1980</v>
      </c>
      <c r="K153" t="s">
        <v>571</v>
      </c>
      <c r="L153">
        <f>HYPERLINK("https://maps.cookcountyil.gov/cookviewer/?search=3600 N LAKE SHORE DR", "3600 N LAKE SHORE DR")</f>
        <v>0</v>
      </c>
      <c r="N153" t="s">
        <v>616</v>
      </c>
      <c r="P153" t="s">
        <v>756</v>
      </c>
      <c r="Q153" t="s">
        <v>944</v>
      </c>
      <c r="U153">
        <f>HYPERLINK("https://www.cookcountyassessoril.gov/pin/14211100201239", "14-21-110-020-1239")</f>
        <v>0</v>
      </c>
      <c r="V153" t="s">
        <v>990</v>
      </c>
    </row>
    <row r="154" spans="1:22">
      <c r="A154">
        <v>153</v>
      </c>
      <c r="B154" t="s">
        <v>170</v>
      </c>
      <c r="C154" t="s">
        <v>363</v>
      </c>
      <c r="D154" t="s">
        <v>420</v>
      </c>
      <c r="I154">
        <v>5000</v>
      </c>
      <c r="K154" t="s">
        <v>572</v>
      </c>
      <c r="L154">
        <f>HYPERLINK("https://maps.cookcountyil.gov/cookviewer/?search=9438 S PARNELL AVE", "9438 S PARNELL AVE")</f>
        <v>0</v>
      </c>
      <c r="N154" t="s">
        <v>616</v>
      </c>
      <c r="P154" t="s">
        <v>757</v>
      </c>
      <c r="Q154" t="s">
        <v>945</v>
      </c>
      <c r="U154">
        <f>HYPERLINK("https://www.cookcountyassessoril.gov/pin/25043270260000", "25-04-327-026-0000")</f>
        <v>0</v>
      </c>
      <c r="V154" t="s">
        <v>990</v>
      </c>
    </row>
    <row r="155" spans="1:22">
      <c r="A155">
        <v>154</v>
      </c>
      <c r="B155" t="s">
        <v>171</v>
      </c>
      <c r="C155" t="s">
        <v>364</v>
      </c>
      <c r="D155" t="s">
        <v>416</v>
      </c>
      <c r="I155">
        <v>29750</v>
      </c>
      <c r="K155" t="s">
        <v>573</v>
      </c>
      <c r="L155">
        <f>HYPERLINK("https://maps.cookcountyil.gov/cookviewer/?search=6049 S RUTHERFORD AVE", "6049 S RUTHERFORD AVE")</f>
        <v>0</v>
      </c>
      <c r="N155" t="s">
        <v>616</v>
      </c>
      <c r="P155" t="s">
        <v>758</v>
      </c>
      <c r="Q155" t="s">
        <v>866</v>
      </c>
      <c r="U155">
        <f>HYPERLINK("https://www.cookcountyassessoril.gov/pin/19184070200000", "19-18-407-020-0000")</f>
        <v>0</v>
      </c>
      <c r="V155" t="s">
        <v>991</v>
      </c>
    </row>
    <row r="156" spans="1:22">
      <c r="A156">
        <v>155</v>
      </c>
      <c r="B156" t="s">
        <v>172</v>
      </c>
      <c r="C156" t="s">
        <v>365</v>
      </c>
      <c r="D156" t="s">
        <v>416</v>
      </c>
      <c r="I156">
        <v>10740</v>
      </c>
      <c r="K156" t="s">
        <v>574</v>
      </c>
      <c r="L156">
        <f>HYPERLINK("https://maps.cookcountyil.gov/cookviewer/?search=850 W 63RD ST", "850 W 63RD ST")</f>
        <v>0</v>
      </c>
      <c r="N156" t="s">
        <v>616</v>
      </c>
      <c r="P156" t="s">
        <v>759</v>
      </c>
      <c r="Q156" t="s">
        <v>946</v>
      </c>
      <c r="U156">
        <f>HYPERLINK("https://www.cookcountyassessoril.gov/pin/20202060010000", "20-20-206-001-0000")</f>
        <v>0</v>
      </c>
      <c r="V156" t="s">
        <v>990</v>
      </c>
    </row>
    <row r="157" spans="1:22">
      <c r="A157">
        <v>156</v>
      </c>
      <c r="B157" t="s">
        <v>173</v>
      </c>
      <c r="C157" t="s">
        <v>366</v>
      </c>
      <c r="D157" t="s">
        <v>417</v>
      </c>
      <c r="I157">
        <v>15000</v>
      </c>
      <c r="K157" t="s">
        <v>575</v>
      </c>
      <c r="L157">
        <f>HYPERLINK("https://maps.cookcountyil.gov/cookviewer/?search=654 W 47TH ST", "654 W 47TH ST")</f>
        <v>0</v>
      </c>
      <c r="N157" t="s">
        <v>616</v>
      </c>
      <c r="P157" t="s">
        <v>760</v>
      </c>
      <c r="Q157" t="s">
        <v>947</v>
      </c>
      <c r="U157">
        <f>HYPERLINK("https://www.cookcountyassessoril.gov/pin/20043300290000", "20-04-330-029-0000")</f>
        <v>0</v>
      </c>
      <c r="V157" t="s">
        <v>990</v>
      </c>
    </row>
    <row r="158" spans="1:22">
      <c r="A158">
        <v>157</v>
      </c>
      <c r="B158" t="s">
        <v>174</v>
      </c>
      <c r="C158" t="s">
        <v>367</v>
      </c>
      <c r="D158" t="s">
        <v>420</v>
      </c>
      <c r="I158">
        <v>5000</v>
      </c>
      <c r="K158" t="s">
        <v>576</v>
      </c>
      <c r="L158">
        <f>HYPERLINK("https://maps.cookcountyil.gov/cookviewer/?search=5217 S KOLMAR AVE", "5217 S KOLMAR AVE")</f>
        <v>0</v>
      </c>
      <c r="N158" t="s">
        <v>616</v>
      </c>
      <c r="P158" t="s">
        <v>761</v>
      </c>
      <c r="Q158" t="s">
        <v>948</v>
      </c>
      <c r="U158">
        <f>HYPERLINK("https://www.cookcountyassessoril.gov/pin/19103140060000", "19-10-314-006-0000")</f>
        <v>0</v>
      </c>
      <c r="V158" t="s">
        <v>990</v>
      </c>
    </row>
    <row r="159" spans="1:22">
      <c r="A159">
        <v>158</v>
      </c>
      <c r="B159" t="s">
        <v>175</v>
      </c>
      <c r="C159" t="s">
        <v>368</v>
      </c>
      <c r="D159" t="s">
        <v>416</v>
      </c>
      <c r="I159">
        <v>3500</v>
      </c>
      <c r="K159" t="s">
        <v>577</v>
      </c>
      <c r="L159">
        <f>HYPERLINK("https://maps.cookcountyil.gov/cookviewer/?search=11319 S AVENUE M", "11319 S AVENUE M")</f>
        <v>0</v>
      </c>
      <c r="N159" t="s">
        <v>616</v>
      </c>
      <c r="P159" t="s">
        <v>762</v>
      </c>
      <c r="Q159" t="s">
        <v>949</v>
      </c>
      <c r="U159">
        <f>HYPERLINK("https://www.cookcountyassessoril.gov/pin/26173250780000", "26-17-325-078-0000")</f>
        <v>0</v>
      </c>
      <c r="V159" t="s">
        <v>990</v>
      </c>
    </row>
    <row r="160" spans="1:22">
      <c r="A160">
        <v>159</v>
      </c>
      <c r="B160" t="s">
        <v>176</v>
      </c>
      <c r="C160" t="s">
        <v>369</v>
      </c>
      <c r="D160" t="s">
        <v>419</v>
      </c>
      <c r="I160">
        <v>8000</v>
      </c>
      <c r="K160" t="s">
        <v>578</v>
      </c>
      <c r="L160">
        <f>HYPERLINK("https://maps.cookcountyil.gov/cookviewer/?search=9244 S JUSTINE ST", "9244 S JUSTINE ST")</f>
        <v>0</v>
      </c>
      <c r="N160" t="s">
        <v>616</v>
      </c>
      <c r="P160" t="s">
        <v>763</v>
      </c>
      <c r="Q160" t="s">
        <v>950</v>
      </c>
      <c r="U160">
        <f>HYPERLINK("https://www.cookcountyassessoril.gov/pin/25053080350000", "25-05-308-035-0000")</f>
        <v>0</v>
      </c>
      <c r="V160" t="s">
        <v>990</v>
      </c>
    </row>
    <row r="161" spans="1:22">
      <c r="A161">
        <v>160</v>
      </c>
      <c r="B161" t="s">
        <v>177</v>
      </c>
      <c r="C161" t="s">
        <v>370</v>
      </c>
      <c r="D161" t="s">
        <v>427</v>
      </c>
      <c r="I161">
        <v>750</v>
      </c>
      <c r="K161" t="s">
        <v>579</v>
      </c>
      <c r="L161">
        <f>HYPERLINK("https://maps.cookcountyil.gov/cookviewer/?search=4232 S CALIFORNIA AVE", "4232 S CALIFORNIA AVE")</f>
        <v>0</v>
      </c>
      <c r="N161" t="s">
        <v>616</v>
      </c>
      <c r="P161" t="s">
        <v>764</v>
      </c>
      <c r="Q161" t="s">
        <v>951</v>
      </c>
      <c r="U161" t="s">
        <v>989</v>
      </c>
      <c r="V161" t="s">
        <v>990</v>
      </c>
    </row>
    <row r="162" spans="1:22">
      <c r="A162">
        <v>161</v>
      </c>
      <c r="B162" t="s">
        <v>178</v>
      </c>
      <c r="C162" t="s">
        <v>371</v>
      </c>
      <c r="D162" t="s">
        <v>415</v>
      </c>
      <c r="I162">
        <v>5000</v>
      </c>
      <c r="K162" t="s">
        <v>580</v>
      </c>
      <c r="L162">
        <f>HYPERLINK("https://maps.cookcountyil.gov/cookviewer/?search=4549 N RESERVE AVE", "4549 N RESERVE AVE")</f>
        <v>0</v>
      </c>
      <c r="N162" t="s">
        <v>616</v>
      </c>
      <c r="P162" t="s">
        <v>765</v>
      </c>
      <c r="Q162" t="s">
        <v>952</v>
      </c>
      <c r="U162">
        <f>HYPERLINK("https://www.cookcountyassessoril.gov/pin/12141130240000", "12-14-113-024-0000")</f>
        <v>0</v>
      </c>
      <c r="V162" t="s">
        <v>990</v>
      </c>
    </row>
    <row r="163" spans="1:22">
      <c r="A163">
        <v>162</v>
      </c>
      <c r="B163" t="s">
        <v>179</v>
      </c>
      <c r="C163" t="s">
        <v>372</v>
      </c>
      <c r="D163" t="s">
        <v>416</v>
      </c>
      <c r="I163">
        <v>7000</v>
      </c>
      <c r="K163" t="s">
        <v>581</v>
      </c>
      <c r="L163">
        <f>HYPERLINK("https://maps.cookcountyil.gov/cookviewer/?search=2706 N DAYTON ST", "2706 N DAYTON ST")</f>
        <v>0</v>
      </c>
      <c r="N163" t="s">
        <v>616</v>
      </c>
      <c r="P163" t="s">
        <v>766</v>
      </c>
      <c r="Q163" t="s">
        <v>953</v>
      </c>
      <c r="U163" t="s">
        <v>989</v>
      </c>
      <c r="V163" t="s">
        <v>990</v>
      </c>
    </row>
    <row r="164" spans="1:22">
      <c r="A164">
        <v>163</v>
      </c>
      <c r="B164" t="s">
        <v>180</v>
      </c>
      <c r="C164" t="s">
        <v>373</v>
      </c>
      <c r="D164" t="s">
        <v>425</v>
      </c>
      <c r="I164">
        <v>45000</v>
      </c>
      <c r="K164" t="s">
        <v>582</v>
      </c>
      <c r="L164">
        <f>HYPERLINK("https://maps.cookcountyil.gov/cookviewer/?search=1455 N SANDBURG TER", "1455 N SANDBURG TER")</f>
        <v>0</v>
      </c>
      <c r="N164" t="s">
        <v>616</v>
      </c>
      <c r="P164" t="s">
        <v>767</v>
      </c>
      <c r="Q164" t="s">
        <v>954</v>
      </c>
      <c r="U164" t="s">
        <v>989</v>
      </c>
      <c r="V164" t="s">
        <v>990</v>
      </c>
    </row>
    <row r="165" spans="1:22">
      <c r="A165">
        <v>164</v>
      </c>
      <c r="B165" t="s">
        <v>181</v>
      </c>
      <c r="C165" t="s">
        <v>374</v>
      </c>
      <c r="D165" t="s">
        <v>415</v>
      </c>
      <c r="I165">
        <v>7000</v>
      </c>
      <c r="K165" t="s">
        <v>583</v>
      </c>
      <c r="L165">
        <f>HYPERLINK("https://maps.cookcountyil.gov/cookviewer/?search=1112 N MONITOR AVE", "1112 N MONITOR AVE")</f>
        <v>0</v>
      </c>
      <c r="N165" t="s">
        <v>616</v>
      </c>
      <c r="P165" t="s">
        <v>768</v>
      </c>
      <c r="Q165" t="s">
        <v>955</v>
      </c>
      <c r="U165" t="s">
        <v>989</v>
      </c>
      <c r="V165" t="s">
        <v>990</v>
      </c>
    </row>
    <row r="166" spans="1:22">
      <c r="A166">
        <v>165</v>
      </c>
      <c r="B166" t="s">
        <v>182</v>
      </c>
      <c r="C166" t="s">
        <v>375</v>
      </c>
      <c r="D166" t="s">
        <v>420</v>
      </c>
      <c r="I166">
        <v>15492</v>
      </c>
      <c r="K166" t="s">
        <v>584</v>
      </c>
      <c r="L166">
        <f>HYPERLINK("https://maps.cookcountyil.gov/cookviewer/?search=6789 W TALCOTT AVE", "6789 W TALCOTT AVE")</f>
        <v>0</v>
      </c>
      <c r="N166" t="s">
        <v>616</v>
      </c>
      <c r="P166" t="s">
        <v>769</v>
      </c>
      <c r="Q166" t="s">
        <v>956</v>
      </c>
      <c r="U166">
        <f>HYPERLINK("https://www.cookcountyassessoril.gov/pin/13072080010000", "13-07-208-001-0000")</f>
        <v>0</v>
      </c>
      <c r="V166" t="s">
        <v>991</v>
      </c>
    </row>
    <row r="167" spans="1:22">
      <c r="A167">
        <v>166</v>
      </c>
      <c r="B167" t="s">
        <v>183</v>
      </c>
      <c r="C167" t="s">
        <v>376</v>
      </c>
      <c r="D167" t="s">
        <v>420</v>
      </c>
      <c r="I167">
        <v>12000</v>
      </c>
      <c r="K167" t="s">
        <v>585</v>
      </c>
      <c r="L167">
        <f>HYPERLINK("https://maps.cookcountyil.gov/cookviewer/?search=1637 N NEWLAND AVE", "1637 N NEWLAND AVE")</f>
        <v>0</v>
      </c>
      <c r="N167" t="s">
        <v>616</v>
      </c>
      <c r="P167" t="s">
        <v>770</v>
      </c>
      <c r="Q167" t="s">
        <v>957</v>
      </c>
      <c r="U167">
        <f>HYPERLINK("https://www.cookcountyassessoril.gov/pin/13313250060000", "13-31-325-006-0000")</f>
        <v>0</v>
      </c>
      <c r="V167" t="s">
        <v>991</v>
      </c>
    </row>
    <row r="168" spans="1:22">
      <c r="A168">
        <v>167</v>
      </c>
      <c r="B168" t="s">
        <v>184</v>
      </c>
      <c r="C168" t="s">
        <v>377</v>
      </c>
      <c r="D168" t="s">
        <v>418</v>
      </c>
      <c r="I168">
        <v>3000</v>
      </c>
      <c r="K168" t="s">
        <v>586</v>
      </c>
      <c r="L168">
        <f>HYPERLINK("https://maps.cookcountyil.gov/cookviewer/?search=5450 N MOBILE AVE", "5450 N MOBILE AVE")</f>
        <v>0</v>
      </c>
      <c r="N168" t="s">
        <v>616</v>
      </c>
      <c r="P168" t="s">
        <v>734</v>
      </c>
      <c r="Q168" t="s">
        <v>958</v>
      </c>
      <c r="U168">
        <f>HYPERLINK("https://www.cookcountyassessoril.gov/pin/13081090220000", "13-08-109-022-0000")</f>
        <v>0</v>
      </c>
      <c r="V168" t="s">
        <v>990</v>
      </c>
    </row>
    <row r="169" spans="1:22">
      <c r="A169">
        <v>168</v>
      </c>
      <c r="B169" t="s">
        <v>185</v>
      </c>
      <c r="C169" t="s">
        <v>378</v>
      </c>
      <c r="D169" t="s">
        <v>420</v>
      </c>
      <c r="I169">
        <v>4000</v>
      </c>
      <c r="K169" t="s">
        <v>587</v>
      </c>
      <c r="L169">
        <f>HYPERLINK("https://maps.cookcountyil.gov/cookviewer/?search=6435 S KNOX AVE", "6435 S KNOX AVE")</f>
        <v>0</v>
      </c>
      <c r="N169" t="s">
        <v>616</v>
      </c>
      <c r="P169" t="s">
        <v>771</v>
      </c>
      <c r="Q169" t="s">
        <v>959</v>
      </c>
      <c r="U169">
        <f>HYPERLINK("https://www.cookcountyassessoril.gov/pin/19221110120000", "19-22-111-012-0000")</f>
        <v>0</v>
      </c>
      <c r="V169" t="s">
        <v>990</v>
      </c>
    </row>
    <row r="170" spans="1:22">
      <c r="A170">
        <v>169</v>
      </c>
      <c r="B170" t="s">
        <v>186</v>
      </c>
      <c r="C170" t="s">
        <v>379</v>
      </c>
      <c r="D170" t="s">
        <v>420</v>
      </c>
      <c r="I170">
        <v>5700</v>
      </c>
      <c r="K170" t="s">
        <v>588</v>
      </c>
      <c r="L170">
        <f>HYPERLINK("https://maps.cookcountyil.gov/cookviewer/?search=11531 S LAFLIN ST", "11531 S LAFLIN ST")</f>
        <v>0</v>
      </c>
      <c r="N170" t="s">
        <v>616</v>
      </c>
      <c r="P170" t="s">
        <v>772</v>
      </c>
      <c r="Q170" t="s">
        <v>960</v>
      </c>
      <c r="U170" t="s">
        <v>989</v>
      </c>
      <c r="V170" t="s">
        <v>990</v>
      </c>
    </row>
    <row r="171" spans="1:22">
      <c r="A171">
        <v>170</v>
      </c>
      <c r="B171" t="s">
        <v>187</v>
      </c>
      <c r="C171" t="s">
        <v>380</v>
      </c>
      <c r="D171" t="s">
        <v>417</v>
      </c>
      <c r="I171">
        <v>78356</v>
      </c>
      <c r="K171" t="s">
        <v>589</v>
      </c>
      <c r="L171">
        <f>HYPERLINK("https://maps.cookcountyil.gov/cookviewer/?search=2019 W CORTEZ ST", "2019 W CORTEZ ST")</f>
        <v>0</v>
      </c>
      <c r="N171" t="s">
        <v>616</v>
      </c>
      <c r="P171" t="s">
        <v>773</v>
      </c>
      <c r="Q171" t="s">
        <v>961</v>
      </c>
      <c r="U171" t="s">
        <v>989</v>
      </c>
      <c r="V171" t="s">
        <v>991</v>
      </c>
    </row>
    <row r="172" spans="1:22">
      <c r="A172">
        <v>171</v>
      </c>
      <c r="B172" t="s">
        <v>141</v>
      </c>
      <c r="C172" t="s">
        <v>381</v>
      </c>
      <c r="D172" t="s">
        <v>420</v>
      </c>
      <c r="I172">
        <v>21812</v>
      </c>
      <c r="K172" t="s">
        <v>545</v>
      </c>
      <c r="L172">
        <f>HYPERLINK("https://maps.cookcountyil.gov/cookviewer/?search=8429 S JEFFERY BLVD", "8429 S JEFFERY BLVD")</f>
        <v>0</v>
      </c>
      <c r="N172" t="s">
        <v>616</v>
      </c>
      <c r="P172" t="s">
        <v>731</v>
      </c>
      <c r="Q172" t="s">
        <v>962</v>
      </c>
      <c r="U172" t="s">
        <v>989</v>
      </c>
      <c r="V172" t="s">
        <v>991</v>
      </c>
    </row>
    <row r="173" spans="1:22">
      <c r="A173">
        <v>172</v>
      </c>
      <c r="B173" t="s">
        <v>65</v>
      </c>
      <c r="C173" t="s">
        <v>382</v>
      </c>
      <c r="D173" t="s">
        <v>418</v>
      </c>
      <c r="I173">
        <v>10906</v>
      </c>
      <c r="K173" t="s">
        <v>470</v>
      </c>
      <c r="L173">
        <f>HYPERLINK("https://maps.cookcountyil.gov/cookviewer/?search=7528 S WINCHESTER AVE", "7528 S WINCHESTER AVE")</f>
        <v>0</v>
      </c>
      <c r="N173" t="s">
        <v>616</v>
      </c>
      <c r="P173" t="s">
        <v>659</v>
      </c>
      <c r="Q173" t="s">
        <v>963</v>
      </c>
      <c r="U173" t="s">
        <v>989</v>
      </c>
      <c r="V173" t="s">
        <v>991</v>
      </c>
    </row>
    <row r="174" spans="1:22">
      <c r="A174">
        <v>173</v>
      </c>
      <c r="B174" t="s">
        <v>188</v>
      </c>
      <c r="C174" t="s">
        <v>383</v>
      </c>
      <c r="D174" t="s">
        <v>419</v>
      </c>
      <c r="I174">
        <v>15000</v>
      </c>
      <c r="K174" t="s">
        <v>590</v>
      </c>
      <c r="L174">
        <f>HYPERLINK("https://maps.cookcountyil.gov/cookviewer/?search=4813 S PAULINA ST", "4813 S PAULINA ST")</f>
        <v>0</v>
      </c>
      <c r="N174" t="s">
        <v>616</v>
      </c>
      <c r="P174" t="s">
        <v>774</v>
      </c>
      <c r="Q174" t="s">
        <v>837</v>
      </c>
      <c r="U174">
        <f>HYPERLINK("https://www.cookcountyassessoril.gov/pin/20072140060000", "20-07-214-006-0000")</f>
        <v>0</v>
      </c>
      <c r="V174" t="s">
        <v>990</v>
      </c>
    </row>
    <row r="175" spans="1:22">
      <c r="A175">
        <v>174</v>
      </c>
      <c r="B175" t="s">
        <v>189</v>
      </c>
      <c r="C175" t="s">
        <v>384</v>
      </c>
      <c r="D175" t="s">
        <v>415</v>
      </c>
      <c r="I175">
        <v>2000</v>
      </c>
      <c r="K175" t="s">
        <v>591</v>
      </c>
      <c r="L175">
        <f>HYPERLINK("https://maps.cookcountyil.gov/cookviewer/?search=1336 N HAMLIN AVE", "1336 N HAMLIN AVE")</f>
        <v>0</v>
      </c>
      <c r="N175" t="s">
        <v>616</v>
      </c>
      <c r="P175" t="s">
        <v>775</v>
      </c>
      <c r="Q175" t="s">
        <v>964</v>
      </c>
      <c r="U175">
        <f>HYPERLINK("https://www.cookcountyassessoril.gov/pin/16021180290000", "16-02-118-029-0000")</f>
        <v>0</v>
      </c>
      <c r="V175" t="s">
        <v>990</v>
      </c>
    </row>
    <row r="176" spans="1:22">
      <c r="A176">
        <v>175</v>
      </c>
      <c r="B176" t="s">
        <v>190</v>
      </c>
      <c r="C176" t="s">
        <v>385</v>
      </c>
      <c r="D176" t="s">
        <v>426</v>
      </c>
      <c r="I176">
        <v>13000</v>
      </c>
      <c r="K176" t="s">
        <v>592</v>
      </c>
      <c r="L176">
        <f>HYPERLINK("https://maps.cookcountyil.gov/cookviewer/?search=6355 S DR MARTIN LUTHER KING JR DR", "6355 S DR MARTIN LUTHER KING JR DR")</f>
        <v>0</v>
      </c>
      <c r="N176" t="s">
        <v>616</v>
      </c>
      <c r="P176" t="s">
        <v>776</v>
      </c>
      <c r="Q176" t="s">
        <v>965</v>
      </c>
      <c r="U176" t="s">
        <v>989</v>
      </c>
      <c r="V176" t="s">
        <v>990</v>
      </c>
    </row>
    <row r="177" spans="1:22">
      <c r="A177">
        <v>176</v>
      </c>
      <c r="B177" t="s">
        <v>66</v>
      </c>
      <c r="C177" t="s">
        <v>386</v>
      </c>
      <c r="D177" t="s">
        <v>420</v>
      </c>
      <c r="I177">
        <v>19801</v>
      </c>
      <c r="K177" t="s">
        <v>471</v>
      </c>
      <c r="L177">
        <f>HYPERLINK("https://maps.cookcountyil.gov/cookviewer/?search=6112 S NAGLE AVE", "6112 S NAGLE AVE")</f>
        <v>0</v>
      </c>
      <c r="N177" t="s">
        <v>616</v>
      </c>
      <c r="P177" t="s">
        <v>660</v>
      </c>
      <c r="Q177" t="s">
        <v>966</v>
      </c>
      <c r="U177">
        <f>HYPERLINK("https://www.cookcountyassessoril.gov/pin/19184200210000", "19-18-420-021-0000")</f>
        <v>0</v>
      </c>
      <c r="V177" t="s">
        <v>991</v>
      </c>
    </row>
    <row r="178" spans="1:22">
      <c r="A178">
        <v>177</v>
      </c>
      <c r="B178" t="s">
        <v>191</v>
      </c>
      <c r="C178" t="s">
        <v>387</v>
      </c>
      <c r="D178" t="s">
        <v>421</v>
      </c>
      <c r="I178">
        <v>35000</v>
      </c>
      <c r="K178" t="s">
        <v>593</v>
      </c>
      <c r="L178">
        <f>HYPERLINK("https://maps.cookcountyil.gov/cookviewer/?search=2219 E 96TH ST", "2219 E 96TH ST")</f>
        <v>0</v>
      </c>
      <c r="N178" t="s">
        <v>616</v>
      </c>
      <c r="P178" t="s">
        <v>777</v>
      </c>
      <c r="Q178" t="s">
        <v>967</v>
      </c>
      <c r="U178">
        <f>HYPERLINK("https://www.cookcountyassessoril.gov/pin/25122280010000", "25-12-228-001-0000")</f>
        <v>0</v>
      </c>
      <c r="V178" t="s">
        <v>990</v>
      </c>
    </row>
    <row r="179" spans="1:22">
      <c r="A179">
        <v>178</v>
      </c>
      <c r="B179" t="s">
        <v>192</v>
      </c>
      <c r="C179" t="s">
        <v>388</v>
      </c>
      <c r="D179" t="s">
        <v>413</v>
      </c>
      <c r="I179">
        <v>64440</v>
      </c>
      <c r="K179" t="s">
        <v>594</v>
      </c>
      <c r="L179">
        <f>HYPERLINK("https://maps.cookcountyil.gov/cookviewer/?search=3434 W SCHUBERT AVE", "3434 W SCHUBERT AVE")</f>
        <v>0</v>
      </c>
      <c r="N179" t="s">
        <v>616</v>
      </c>
      <c r="P179" t="s">
        <v>778</v>
      </c>
      <c r="Q179" t="s">
        <v>968</v>
      </c>
      <c r="U179" t="s">
        <v>989</v>
      </c>
      <c r="V179" t="s">
        <v>990</v>
      </c>
    </row>
    <row r="180" spans="1:22">
      <c r="A180">
        <v>179</v>
      </c>
      <c r="B180" t="s">
        <v>193</v>
      </c>
      <c r="C180" t="s">
        <v>389</v>
      </c>
      <c r="D180" t="s">
        <v>423</v>
      </c>
      <c r="I180">
        <v>2500</v>
      </c>
      <c r="K180" t="s">
        <v>595</v>
      </c>
      <c r="L180">
        <f>HYPERLINK("https://maps.cookcountyil.gov/cookviewer/?search=3601 W GRENSHAW ST", "3601 W GRENSHAW ST")</f>
        <v>0</v>
      </c>
      <c r="N180" t="s">
        <v>616</v>
      </c>
      <c r="P180" t="s">
        <v>779</v>
      </c>
      <c r="Q180" t="s">
        <v>969</v>
      </c>
      <c r="U180">
        <f>HYPERLINK("https://www.cookcountyassessoril.gov/pin/16143280390000", "16-14-328-039-0000")</f>
        <v>0</v>
      </c>
      <c r="V180" t="s">
        <v>991</v>
      </c>
    </row>
    <row r="181" spans="1:22">
      <c r="A181">
        <v>180</v>
      </c>
      <c r="B181" t="s">
        <v>194</v>
      </c>
      <c r="C181" t="s">
        <v>390</v>
      </c>
      <c r="D181" t="s">
        <v>411</v>
      </c>
      <c r="I181">
        <v>100000</v>
      </c>
      <c r="K181" t="s">
        <v>596</v>
      </c>
      <c r="L181">
        <f>HYPERLINK("https://maps.cookcountyil.gov/cookviewer/?search=303 W MADISON ST", "303 W MADISON ST")</f>
        <v>0</v>
      </c>
      <c r="N181" t="s">
        <v>616</v>
      </c>
      <c r="P181" t="s">
        <v>780</v>
      </c>
      <c r="Q181" t="s">
        <v>970</v>
      </c>
      <c r="U181">
        <f>HYPERLINK("https://www.cookcountyassessoril.gov/pin/17162010070000", "17-16-201-007-0000")</f>
        <v>0</v>
      </c>
      <c r="V181" t="s">
        <v>990</v>
      </c>
    </row>
    <row r="182" spans="1:22">
      <c r="A182">
        <v>181</v>
      </c>
      <c r="B182" t="s">
        <v>195</v>
      </c>
      <c r="C182" t="s">
        <v>391</v>
      </c>
      <c r="D182" t="s">
        <v>418</v>
      </c>
      <c r="I182">
        <v>28660</v>
      </c>
      <c r="K182" t="s">
        <v>597</v>
      </c>
      <c r="L182">
        <f>HYPERLINK("https://maps.cookcountyil.gov/cookviewer/?search=444 W OAKDALE AVE", "444 W OAKDALE AVE")</f>
        <v>0</v>
      </c>
      <c r="N182" t="s">
        <v>616</v>
      </c>
      <c r="P182" t="s">
        <v>781</v>
      </c>
      <c r="Q182" t="s">
        <v>971</v>
      </c>
      <c r="U182" t="s">
        <v>989</v>
      </c>
      <c r="V182" t="s">
        <v>990</v>
      </c>
    </row>
    <row r="183" spans="1:22">
      <c r="A183">
        <v>182</v>
      </c>
      <c r="B183" t="s">
        <v>196</v>
      </c>
      <c r="C183" t="s">
        <v>392</v>
      </c>
      <c r="D183" t="s">
        <v>425</v>
      </c>
      <c r="I183">
        <v>40000</v>
      </c>
      <c r="K183" t="s">
        <v>598</v>
      </c>
      <c r="L183">
        <f>HYPERLINK("https://maps.cookcountyil.gov/cookviewer/?search=6211 S VERNON AVE", "6211 S VERNON AVE")</f>
        <v>0</v>
      </c>
      <c r="N183" t="s">
        <v>616</v>
      </c>
      <c r="P183" t="s">
        <v>782</v>
      </c>
      <c r="Q183" t="s">
        <v>972</v>
      </c>
      <c r="U183">
        <f>HYPERLINK("https://www.cookcountyassessoril.gov/pin/20154170280000", "20-15-417-028-0000")</f>
        <v>0</v>
      </c>
      <c r="V183" t="s">
        <v>990</v>
      </c>
    </row>
    <row r="184" spans="1:22">
      <c r="A184">
        <v>183</v>
      </c>
      <c r="B184" t="s">
        <v>197</v>
      </c>
      <c r="C184" t="s">
        <v>393</v>
      </c>
      <c r="D184" t="s">
        <v>420</v>
      </c>
      <c r="I184">
        <v>4007</v>
      </c>
      <c r="K184" t="s">
        <v>599</v>
      </c>
      <c r="L184">
        <f>HYPERLINK("https://maps.cookcountyil.gov/cookviewer/?search=10701 S TROY ST", "10701 S TROY ST")</f>
        <v>0</v>
      </c>
      <c r="N184" t="s">
        <v>616</v>
      </c>
      <c r="P184" t="s">
        <v>783</v>
      </c>
      <c r="Q184" t="s">
        <v>973</v>
      </c>
      <c r="U184">
        <f>HYPERLINK("https://www.cookcountyassessoril.gov/pin/24133010010000", "24-13-301-001-0000")</f>
        <v>0</v>
      </c>
      <c r="V184" t="s">
        <v>990</v>
      </c>
    </row>
    <row r="185" spans="1:22">
      <c r="A185">
        <v>184</v>
      </c>
      <c r="B185" t="s">
        <v>198</v>
      </c>
      <c r="C185" t="s">
        <v>394</v>
      </c>
      <c r="D185" t="s">
        <v>418</v>
      </c>
      <c r="I185">
        <v>122770</v>
      </c>
      <c r="K185" t="s">
        <v>600</v>
      </c>
      <c r="L185">
        <f>HYPERLINK("https://maps.cookcountyil.gov/cookviewer/?search=1616 W MONTROSE AVE", "1616 W MONTROSE AVE")</f>
        <v>0</v>
      </c>
      <c r="N185" t="s">
        <v>616</v>
      </c>
      <c r="P185" t="s">
        <v>784</v>
      </c>
      <c r="Q185" t="s">
        <v>974</v>
      </c>
      <c r="U185" t="s">
        <v>989</v>
      </c>
      <c r="V185" t="s">
        <v>991</v>
      </c>
    </row>
    <row r="186" spans="1:22">
      <c r="A186">
        <v>185</v>
      </c>
      <c r="B186" t="s">
        <v>199</v>
      </c>
      <c r="C186" t="s">
        <v>395</v>
      </c>
      <c r="D186" t="s">
        <v>425</v>
      </c>
      <c r="I186">
        <v>8330</v>
      </c>
      <c r="K186" t="s">
        <v>601</v>
      </c>
      <c r="L186">
        <f>HYPERLINK("https://maps.cookcountyil.gov/cookviewer/?search=1425 W SUMMERDALE AVE", "1425 W SUMMERDALE AVE")</f>
        <v>0</v>
      </c>
      <c r="N186" t="s">
        <v>616</v>
      </c>
      <c r="P186" t="s">
        <v>785</v>
      </c>
      <c r="Q186" t="s">
        <v>975</v>
      </c>
      <c r="U186" t="s">
        <v>989</v>
      </c>
      <c r="V186" t="s">
        <v>990</v>
      </c>
    </row>
    <row r="187" spans="1:22">
      <c r="A187">
        <v>186</v>
      </c>
      <c r="B187" t="s">
        <v>200</v>
      </c>
      <c r="C187" t="s">
        <v>396</v>
      </c>
      <c r="D187" t="s">
        <v>420</v>
      </c>
      <c r="I187">
        <v>2419</v>
      </c>
      <c r="K187" t="s">
        <v>602</v>
      </c>
      <c r="L187">
        <f>HYPERLINK("https://maps.cookcountyil.gov/cookviewer/?search=7959 S ARTESIAN AVE", "7959 S ARTESIAN AVE")</f>
        <v>0</v>
      </c>
      <c r="N187" t="s">
        <v>616</v>
      </c>
      <c r="P187" t="s">
        <v>786</v>
      </c>
      <c r="Q187" t="s">
        <v>976</v>
      </c>
      <c r="U187">
        <f>HYPERLINK("https://www.cookcountyassessoril.gov/pin/19362070180000", "19-36-207-018-0000")</f>
        <v>0</v>
      </c>
      <c r="V187" t="s">
        <v>990</v>
      </c>
    </row>
    <row r="188" spans="1:22">
      <c r="A188">
        <v>187</v>
      </c>
      <c r="B188" t="s">
        <v>201</v>
      </c>
      <c r="C188" t="s">
        <v>397</v>
      </c>
      <c r="D188" t="s">
        <v>420</v>
      </c>
      <c r="I188">
        <v>5700</v>
      </c>
      <c r="K188" t="s">
        <v>603</v>
      </c>
      <c r="L188">
        <f>HYPERLINK("https://maps.cookcountyil.gov/cookviewer/?search=9601 S DAMEN AVE", "9601 S DAMEN AVE")</f>
        <v>0</v>
      </c>
      <c r="N188" t="s">
        <v>616</v>
      </c>
      <c r="P188" t="s">
        <v>787</v>
      </c>
      <c r="Q188" t="s">
        <v>977</v>
      </c>
      <c r="U188">
        <f>HYPERLINK("https://www.cookcountyassessoril.gov/pin/25072050010000", "25-07-205-001-0000")</f>
        <v>0</v>
      </c>
      <c r="V188" t="s">
        <v>990</v>
      </c>
    </row>
    <row r="189" spans="1:22">
      <c r="A189">
        <v>188</v>
      </c>
      <c r="B189" t="s">
        <v>202</v>
      </c>
      <c r="C189" t="s">
        <v>398</v>
      </c>
      <c r="D189" t="s">
        <v>418</v>
      </c>
      <c r="I189">
        <v>30675</v>
      </c>
      <c r="K189" t="s">
        <v>604</v>
      </c>
      <c r="L189">
        <f>HYPERLINK("https://maps.cookcountyil.gov/cookviewer/?search=8354 S ANTHONY AVE", "8354 S ANTHONY AVE")</f>
        <v>0</v>
      </c>
      <c r="N189" t="s">
        <v>616</v>
      </c>
      <c r="P189" t="s">
        <v>788</v>
      </c>
      <c r="Q189" t="s">
        <v>873</v>
      </c>
      <c r="U189">
        <f>HYPERLINK("https://www.cookcountyassessoril.gov/pin/20363060110000", "20-36-306-011-0000")</f>
        <v>0</v>
      </c>
      <c r="V189" t="s">
        <v>991</v>
      </c>
    </row>
    <row r="190" spans="1:22">
      <c r="A190">
        <v>189</v>
      </c>
      <c r="B190" t="s">
        <v>203</v>
      </c>
      <c r="C190" t="s">
        <v>399</v>
      </c>
      <c r="D190" t="s">
        <v>418</v>
      </c>
      <c r="I190">
        <v>239895</v>
      </c>
      <c r="K190" t="s">
        <v>605</v>
      </c>
      <c r="L190">
        <f>HYPERLINK("https://maps.cookcountyil.gov/cookviewer/?search=3150 N SHERIDAN RD", "3150 N SHERIDAN RD")</f>
        <v>0</v>
      </c>
      <c r="N190" t="s">
        <v>616</v>
      </c>
      <c r="P190" t="s">
        <v>789</v>
      </c>
      <c r="Q190" t="s">
        <v>978</v>
      </c>
      <c r="U190" t="s">
        <v>989</v>
      </c>
      <c r="V190" t="s">
        <v>990</v>
      </c>
    </row>
    <row r="191" spans="1:22">
      <c r="A191">
        <v>190</v>
      </c>
      <c r="B191" t="s">
        <v>204</v>
      </c>
      <c r="C191" t="s">
        <v>400</v>
      </c>
      <c r="D191" t="s">
        <v>417</v>
      </c>
      <c r="I191">
        <v>30400</v>
      </c>
      <c r="K191" t="s">
        <v>606</v>
      </c>
      <c r="L191">
        <f>HYPERLINK("https://maps.cookcountyil.gov/cookviewer/?search=6526 N NASHVILLE AVE", "6526 N NASHVILLE AVE")</f>
        <v>0</v>
      </c>
      <c r="N191" t="s">
        <v>616</v>
      </c>
      <c r="P191" t="s">
        <v>790</v>
      </c>
      <c r="Q191" t="s">
        <v>979</v>
      </c>
      <c r="U191">
        <f>HYPERLINK("https://www.cookcountyassessoril.gov/pin/10314090290000", "10-31-409-029-0000")</f>
        <v>0</v>
      </c>
      <c r="V191" t="s">
        <v>991</v>
      </c>
    </row>
    <row r="192" spans="1:22">
      <c r="A192">
        <v>191</v>
      </c>
      <c r="B192" t="s">
        <v>205</v>
      </c>
      <c r="C192" t="s">
        <v>401</v>
      </c>
      <c r="D192" t="s">
        <v>423</v>
      </c>
      <c r="I192">
        <v>20000</v>
      </c>
      <c r="K192" t="s">
        <v>607</v>
      </c>
      <c r="L192">
        <f>HYPERLINK("https://maps.cookcountyil.gov/cookviewer/?search=105 W 117TH ST", "105 W 117TH ST")</f>
        <v>0</v>
      </c>
      <c r="N192" t="s">
        <v>616</v>
      </c>
      <c r="P192" t="s">
        <v>791</v>
      </c>
      <c r="Q192" t="s">
        <v>980</v>
      </c>
      <c r="U192">
        <f>HYPERLINK("https://www.cookcountyassessoril.gov/pin/25214190450000", "25-21-419-045-0000")</f>
        <v>0</v>
      </c>
      <c r="V192" t="s">
        <v>990</v>
      </c>
    </row>
    <row r="193" spans="1:22">
      <c r="A193">
        <v>192</v>
      </c>
      <c r="B193" t="s">
        <v>206</v>
      </c>
      <c r="C193" t="s">
        <v>402</v>
      </c>
      <c r="D193" t="s">
        <v>420</v>
      </c>
      <c r="I193">
        <v>21400</v>
      </c>
      <c r="K193" t="s">
        <v>608</v>
      </c>
      <c r="L193">
        <f>HYPERLINK("https://maps.cookcountyil.gov/cookviewer/?search=1927 N LAWNDALE AVE", "1927 N LAWNDALE AVE")</f>
        <v>0</v>
      </c>
      <c r="N193" t="s">
        <v>616</v>
      </c>
      <c r="P193" t="s">
        <v>792</v>
      </c>
      <c r="Q193" t="s">
        <v>981</v>
      </c>
      <c r="U193">
        <f>HYPERLINK("https://www.cookcountyassessoril.gov/pin/13353050180000", "13-35-305-018-0000")</f>
        <v>0</v>
      </c>
      <c r="V193" t="s">
        <v>991</v>
      </c>
    </row>
    <row r="194" spans="1:22">
      <c r="A194">
        <v>193</v>
      </c>
      <c r="B194" t="s">
        <v>207</v>
      </c>
      <c r="C194" t="s">
        <v>403</v>
      </c>
      <c r="D194" t="s">
        <v>418</v>
      </c>
      <c r="I194">
        <v>24475</v>
      </c>
      <c r="K194" t="s">
        <v>609</v>
      </c>
      <c r="L194">
        <f>HYPERLINK("https://maps.cookcountyil.gov/cookviewer/?search=3308 N NORMANDY AVE", "3308 N NORMANDY AVE")</f>
        <v>0</v>
      </c>
      <c r="N194" t="s">
        <v>616</v>
      </c>
      <c r="P194" t="s">
        <v>793</v>
      </c>
      <c r="Q194" t="s">
        <v>982</v>
      </c>
      <c r="U194">
        <f>HYPERLINK("https://www.cookcountyassessoril.gov/pin/13194170320000", "13-19-417-032-0000")</f>
        <v>0</v>
      </c>
      <c r="V194" t="s">
        <v>991</v>
      </c>
    </row>
    <row r="195" spans="1:22">
      <c r="A195">
        <v>194</v>
      </c>
      <c r="B195" t="s">
        <v>208</v>
      </c>
      <c r="C195" t="s">
        <v>404</v>
      </c>
      <c r="D195" t="s">
        <v>415</v>
      </c>
      <c r="I195">
        <v>30500</v>
      </c>
      <c r="K195" t="s">
        <v>610</v>
      </c>
      <c r="L195">
        <f>HYPERLINK("https://maps.cookcountyil.gov/cookviewer/?search=6945 W ARCHER AVE", "6945 W ARCHER AVE")</f>
        <v>0</v>
      </c>
      <c r="N195" t="s">
        <v>616</v>
      </c>
      <c r="P195" t="s">
        <v>794</v>
      </c>
      <c r="Q195" t="s">
        <v>983</v>
      </c>
      <c r="U195">
        <f>HYPERLINK("https://www.cookcountyassessoril.gov/pin/19181040060000", "19-18-104-006-0000")</f>
        <v>0</v>
      </c>
      <c r="V195" t="s">
        <v>990</v>
      </c>
    </row>
    <row r="196" spans="1:22">
      <c r="A196">
        <v>195</v>
      </c>
      <c r="B196" t="s">
        <v>209</v>
      </c>
      <c r="C196" t="s">
        <v>405</v>
      </c>
      <c r="D196" t="s">
        <v>420</v>
      </c>
      <c r="I196">
        <v>2500</v>
      </c>
      <c r="K196" t="s">
        <v>611</v>
      </c>
      <c r="L196">
        <f>HYPERLINK("https://maps.cookcountyil.gov/cookviewer/?search=10549 S ALBANY AVE", "10549 S ALBANY AVE")</f>
        <v>0</v>
      </c>
      <c r="N196" t="s">
        <v>616</v>
      </c>
      <c r="P196" t="s">
        <v>795</v>
      </c>
      <c r="Q196" t="s">
        <v>984</v>
      </c>
      <c r="U196">
        <f>HYPERLINK("https://www.cookcountyassessoril.gov/pin/24131100440000", "24-13-110-044-0000")</f>
        <v>0</v>
      </c>
      <c r="V196" t="s">
        <v>990</v>
      </c>
    </row>
    <row r="197" spans="1:22">
      <c r="A197">
        <v>196</v>
      </c>
      <c r="B197" t="s">
        <v>207</v>
      </c>
      <c r="C197" t="s">
        <v>406</v>
      </c>
      <c r="D197" t="s">
        <v>420</v>
      </c>
      <c r="I197">
        <v>5000</v>
      </c>
      <c r="K197" t="s">
        <v>609</v>
      </c>
      <c r="L197">
        <f>HYPERLINK("https://maps.cookcountyil.gov/cookviewer/?search=3308 N NORMANDY AVE", "3308 N NORMANDY AVE")</f>
        <v>0</v>
      </c>
      <c r="N197" t="s">
        <v>616</v>
      </c>
      <c r="P197" t="s">
        <v>793</v>
      </c>
      <c r="Q197" t="s">
        <v>828</v>
      </c>
      <c r="U197">
        <f>HYPERLINK("https://www.cookcountyassessoril.gov/pin/13194170320000", "13-19-417-032-0000")</f>
        <v>0</v>
      </c>
      <c r="V197" t="s">
        <v>990</v>
      </c>
    </row>
    <row r="198" spans="1:22">
      <c r="A198">
        <v>197</v>
      </c>
      <c r="B198" t="s">
        <v>210</v>
      </c>
      <c r="C198" t="s">
        <v>407</v>
      </c>
      <c r="D198" t="s">
        <v>415</v>
      </c>
      <c r="I198">
        <v>44790</v>
      </c>
      <c r="K198" t="s">
        <v>612</v>
      </c>
      <c r="L198">
        <f>HYPERLINK("https://maps.cookcountyil.gov/cookviewer/?search=739 W BROMPTON AVE", "739 W BROMPTON AVE")</f>
        <v>0</v>
      </c>
      <c r="N198" t="s">
        <v>616</v>
      </c>
      <c r="P198" t="s">
        <v>796</v>
      </c>
      <c r="Q198" t="s">
        <v>985</v>
      </c>
      <c r="U198">
        <f>HYPERLINK("https://www.cookcountyassessoril.gov/pin/14213020331005", "14-21-302-033-1005"), =HYPERLINK("https://www.cookcountyassessoril.gov/pin/14213020331006", "14-21-302-033-1006"), =HYPERLINK("https://www.cookcountyassessoril.gov/pin/14213020331003", "14-21-302-033-1003"), =HYPERLINK("https://www.cookcountyassessoril.gov/pin/14213020331008", "14-21-302-033-1008")</f>
        <v>0</v>
      </c>
      <c r="V198" t="s">
        <v>990</v>
      </c>
    </row>
    <row r="199" spans="1:22">
      <c r="A199">
        <v>198</v>
      </c>
      <c r="B199" t="s">
        <v>211</v>
      </c>
      <c r="C199" t="s">
        <v>408</v>
      </c>
      <c r="D199" t="s">
        <v>418</v>
      </c>
      <c r="I199">
        <v>6000</v>
      </c>
      <c r="K199" t="s">
        <v>613</v>
      </c>
      <c r="L199">
        <f>HYPERLINK("https://maps.cookcountyil.gov/cookviewer/?search=1453 E 53RD ST", "1453 E 53RD ST")</f>
        <v>0</v>
      </c>
      <c r="N199" t="s">
        <v>616</v>
      </c>
      <c r="P199" t="s">
        <v>797</v>
      </c>
      <c r="Q199" t="s">
        <v>986</v>
      </c>
      <c r="U199" t="s">
        <v>989</v>
      </c>
      <c r="V199" t="s">
        <v>990</v>
      </c>
    </row>
    <row r="200" spans="1:22">
      <c r="A200">
        <v>199</v>
      </c>
      <c r="B200" t="s">
        <v>212</v>
      </c>
      <c r="C200" t="s">
        <v>409</v>
      </c>
      <c r="D200" t="s">
        <v>415</v>
      </c>
      <c r="I200">
        <v>38580</v>
      </c>
      <c r="K200" t="s">
        <v>614</v>
      </c>
      <c r="L200">
        <f>HYPERLINK("https://maps.cookcountyil.gov/cookviewer/?search=2119 W ARMITAGE AVE", "2119 W ARMITAGE AVE")</f>
        <v>0</v>
      </c>
      <c r="N200" t="s">
        <v>616</v>
      </c>
      <c r="P200" t="s">
        <v>798</v>
      </c>
      <c r="Q200" t="s">
        <v>987</v>
      </c>
      <c r="U200" t="s">
        <v>989</v>
      </c>
      <c r="V200" t="s">
        <v>990</v>
      </c>
    </row>
    <row r="201" spans="1:22">
      <c r="A201">
        <v>200</v>
      </c>
      <c r="B201" t="s">
        <v>213</v>
      </c>
      <c r="C201" t="s">
        <v>410</v>
      </c>
      <c r="D201" t="s">
        <v>411</v>
      </c>
      <c r="I201">
        <v>15000</v>
      </c>
      <c r="K201" t="s">
        <v>615</v>
      </c>
      <c r="L201">
        <f>HYPERLINK("https://maps.cookcountyil.gov/cookviewer/?search=2711 S TRUMBULL AVE", "2711 S TRUMBULL AVE")</f>
        <v>0</v>
      </c>
      <c r="N201" t="s">
        <v>616</v>
      </c>
      <c r="P201" t="s">
        <v>799</v>
      </c>
      <c r="Q201" t="s">
        <v>988</v>
      </c>
      <c r="U201">
        <f>HYPERLINK("https://www.cookcountyassessoril.gov/pin/16264110040000", "16-26-411-004-0000")</f>
        <v>0</v>
      </c>
      <c r="V201" t="s">
        <v>991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2025-09-09T20:01:41Z</dcterms:created>
  <dcterms:modified xsi:type="dcterms:W3CDTF">2025-09-09T20:01:41Z</dcterms:modified>
</cp:coreProperties>
</file>